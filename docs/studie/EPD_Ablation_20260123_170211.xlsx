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365rwthaachende.sharepoint.com/sites/Persnlich735/Freigegebene Dokumente/General/PaperSchreiben/EPDMatcher/Results/"/>
    </mc:Choice>
  </mc:AlternateContent>
  <xr:revisionPtr revIDLastSave="197" documentId="13_ncr:1_{A8920AE4-0236-483E-BA08-A8A79516C205}" xr6:coauthVersionLast="47" xr6:coauthVersionMax="47" xr10:uidLastSave="{BC9F2D0F-78AC-423E-93DB-481EA1A7C272}"/>
  <bookViews>
    <workbookView xWindow="4545" yWindow="4545" windowWidth="38700" windowHeight="15345" firstSheet="1" activeTab="8" xr2:uid="{5863E53A-CCE5-41B7-BC6F-FD3E2D1AE432}"/>
  </bookViews>
  <sheets>
    <sheet name="★ Ablation-Study" sheetId="3" r:id="rId1"/>
    <sheet name="Tabelle2" sheetId="11" r:id="rId2"/>
    <sheet name="Visualization" sheetId="10" r:id="rId3"/>
    <sheet name="★ Empfehlungen" sheetId="6" r:id="rId4"/>
    <sheet name="Ground-Truth" sheetId="1" r:id="rId5"/>
    <sheet name="Benchmark-Runs" sheetId="2" r:id="rId6"/>
    <sheet name="Ablation-Configs" sheetId="4" r:id="rId7"/>
    <sheet name="Ablation-Models" sheetId="5" r:id="rId8"/>
    <sheet name="Accuracy-pro-Schicht" sheetId="7" r:id="rId9"/>
    <sheet name="Benchmark-Summary" sheetId="8" r:id="rId10"/>
    <sheet name="Benchmark-Configs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A39" i="10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A23" i="10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H5" i="3"/>
  <c r="H17" i="3"/>
  <c r="H15" i="3"/>
  <c r="H3" i="3"/>
  <c r="H6" i="3"/>
  <c r="H4" i="3"/>
  <c r="H2" i="3"/>
  <c r="H28" i="3"/>
  <c r="H22" i="3"/>
  <c r="H32" i="3"/>
  <c r="H30" i="3"/>
  <c r="H21" i="3"/>
  <c r="H24" i="3"/>
  <c r="H20" i="3"/>
  <c r="H16" i="3"/>
  <c r="H11" i="3"/>
  <c r="H13" i="3"/>
  <c r="H18" i="3"/>
  <c r="H14" i="3"/>
  <c r="H10" i="3"/>
  <c r="H9" i="3"/>
  <c r="H12" i="3"/>
  <c r="H7" i="3"/>
  <c r="H29" i="3"/>
  <c r="H26" i="3"/>
  <c r="H33" i="3"/>
  <c r="H31" i="3"/>
  <c r="H23" i="3"/>
  <c r="H27" i="3"/>
  <c r="H25" i="3"/>
  <c r="H19" i="3"/>
  <c r="H8" i="3"/>
  <c r="G5" i="3"/>
  <c r="G17" i="3"/>
  <c r="G15" i="3"/>
  <c r="G3" i="3"/>
  <c r="G6" i="3"/>
  <c r="G4" i="3"/>
  <c r="G2" i="3"/>
  <c r="G28" i="3"/>
  <c r="G22" i="3"/>
  <c r="G32" i="3"/>
  <c r="G30" i="3"/>
  <c r="G21" i="3"/>
  <c r="G24" i="3"/>
  <c r="G20" i="3"/>
  <c r="G16" i="3"/>
  <c r="G11" i="3"/>
  <c r="G13" i="3"/>
  <c r="G18" i="3"/>
  <c r="G14" i="3"/>
  <c r="G10" i="3"/>
  <c r="G9" i="3"/>
  <c r="G12" i="3"/>
  <c r="G7" i="3"/>
  <c r="G29" i="3"/>
  <c r="G26" i="3"/>
  <c r="G33" i="3"/>
  <c r="G31" i="3"/>
  <c r="G23" i="3"/>
  <c r="G27" i="3"/>
  <c r="G25" i="3"/>
  <c r="G19" i="3"/>
  <c r="G8" i="3"/>
  <c r="I161" i="7"/>
  <c r="D161" i="7"/>
  <c r="C161" i="7"/>
  <c r="B161" i="7"/>
  <c r="I160" i="7"/>
  <c r="D160" i="7"/>
  <c r="C160" i="7"/>
  <c r="B160" i="7"/>
  <c r="I159" i="7"/>
  <c r="D159" i="7"/>
  <c r="C159" i="7"/>
  <c r="B159" i="7"/>
  <c r="I158" i="7"/>
  <c r="D158" i="7"/>
  <c r="C158" i="7"/>
  <c r="B158" i="7"/>
  <c r="I157" i="7"/>
  <c r="D157" i="7"/>
  <c r="C157" i="7"/>
  <c r="B157" i="7"/>
  <c r="I156" i="7"/>
  <c r="D156" i="7"/>
  <c r="C156" i="7"/>
  <c r="B156" i="7"/>
  <c r="I155" i="7"/>
  <c r="D155" i="7"/>
  <c r="C155" i="7"/>
  <c r="B155" i="7"/>
  <c r="I154" i="7"/>
  <c r="D154" i="7"/>
  <c r="C154" i="7"/>
  <c r="B154" i="7"/>
  <c r="I153" i="7"/>
  <c r="D153" i="7"/>
  <c r="C153" i="7"/>
  <c r="B153" i="7"/>
  <c r="I152" i="7"/>
  <c r="D152" i="7"/>
  <c r="C152" i="7"/>
  <c r="B152" i="7"/>
  <c r="I151" i="7"/>
  <c r="D151" i="7"/>
  <c r="C151" i="7"/>
  <c r="B151" i="7"/>
  <c r="I150" i="7"/>
  <c r="D150" i="7"/>
  <c r="C150" i="7"/>
  <c r="B150" i="7"/>
  <c r="I149" i="7"/>
  <c r="D149" i="7"/>
  <c r="C149" i="7"/>
  <c r="B149" i="7"/>
  <c r="I148" i="7"/>
  <c r="D148" i="7"/>
  <c r="C148" i="7"/>
  <c r="B148" i="7"/>
  <c r="I147" i="7"/>
  <c r="D147" i="7"/>
  <c r="C147" i="7"/>
  <c r="B147" i="7"/>
  <c r="I146" i="7"/>
  <c r="D146" i="7"/>
  <c r="C146" i="7"/>
  <c r="B146" i="7"/>
  <c r="I145" i="7"/>
  <c r="D145" i="7"/>
  <c r="C145" i="7"/>
  <c r="B145" i="7"/>
  <c r="I144" i="7"/>
  <c r="D144" i="7"/>
  <c r="C144" i="7"/>
  <c r="B144" i="7"/>
  <c r="I143" i="7"/>
  <c r="D143" i="7"/>
  <c r="C143" i="7"/>
  <c r="B143" i="7"/>
  <c r="I142" i="7"/>
  <c r="D142" i="7"/>
  <c r="C142" i="7"/>
  <c r="B142" i="7"/>
  <c r="I141" i="7"/>
  <c r="D141" i="7"/>
  <c r="C141" i="7"/>
  <c r="B141" i="7"/>
  <c r="I140" i="7"/>
  <c r="D140" i="7"/>
  <c r="C140" i="7"/>
  <c r="B140" i="7"/>
  <c r="I139" i="7"/>
  <c r="D139" i="7"/>
  <c r="C139" i="7"/>
  <c r="B139" i="7"/>
  <c r="I138" i="7"/>
  <c r="D138" i="7"/>
  <c r="C138" i="7"/>
  <c r="B138" i="7"/>
  <c r="I137" i="7"/>
  <c r="D137" i="7"/>
  <c r="C137" i="7"/>
  <c r="B137" i="7"/>
  <c r="I136" i="7"/>
  <c r="D136" i="7"/>
  <c r="C136" i="7"/>
  <c r="B136" i="7"/>
  <c r="I135" i="7"/>
  <c r="D135" i="7"/>
  <c r="C135" i="7"/>
  <c r="B135" i="7"/>
  <c r="I134" i="7"/>
  <c r="D134" i="7"/>
  <c r="C134" i="7"/>
  <c r="B134" i="7"/>
  <c r="I133" i="7"/>
  <c r="D133" i="7"/>
  <c r="C133" i="7"/>
  <c r="B133" i="7"/>
  <c r="I132" i="7"/>
  <c r="D132" i="7"/>
  <c r="C132" i="7"/>
  <c r="B132" i="7"/>
  <c r="I131" i="7"/>
  <c r="D131" i="7"/>
  <c r="C131" i="7"/>
  <c r="B131" i="7"/>
  <c r="I130" i="7"/>
  <c r="D130" i="7"/>
  <c r="C130" i="7"/>
  <c r="B130" i="7"/>
  <c r="I129" i="7"/>
  <c r="D129" i="7"/>
  <c r="C129" i="7"/>
  <c r="B129" i="7"/>
  <c r="I128" i="7"/>
  <c r="D128" i="7"/>
  <c r="C128" i="7"/>
  <c r="B128" i="7"/>
  <c r="I127" i="7"/>
  <c r="D127" i="7"/>
  <c r="C127" i="7"/>
  <c r="B127" i="7"/>
  <c r="I126" i="7"/>
  <c r="D126" i="7"/>
  <c r="C126" i="7"/>
  <c r="B126" i="7"/>
  <c r="I125" i="7"/>
  <c r="D125" i="7"/>
  <c r="C125" i="7"/>
  <c r="B125" i="7"/>
  <c r="I124" i="7"/>
  <c r="D124" i="7"/>
  <c r="C124" i="7"/>
  <c r="B124" i="7"/>
  <c r="I123" i="7"/>
  <c r="D123" i="7"/>
  <c r="C123" i="7"/>
  <c r="B123" i="7"/>
  <c r="I122" i="7"/>
  <c r="D122" i="7"/>
  <c r="C122" i="7"/>
  <c r="B122" i="7"/>
  <c r="I121" i="7"/>
  <c r="D121" i="7"/>
  <c r="C121" i="7"/>
  <c r="B121" i="7"/>
  <c r="I120" i="7"/>
  <c r="D120" i="7"/>
  <c r="C120" i="7"/>
  <c r="B120" i="7"/>
  <c r="I119" i="7"/>
  <c r="D119" i="7"/>
  <c r="C119" i="7"/>
  <c r="B119" i="7"/>
  <c r="I118" i="7"/>
  <c r="D118" i="7"/>
  <c r="C118" i="7"/>
  <c r="B118" i="7"/>
  <c r="I117" i="7"/>
  <c r="D117" i="7"/>
  <c r="C117" i="7"/>
  <c r="B117" i="7"/>
  <c r="I116" i="7"/>
  <c r="D116" i="7"/>
  <c r="C116" i="7"/>
  <c r="B116" i="7"/>
  <c r="I115" i="7"/>
  <c r="D115" i="7"/>
  <c r="C115" i="7"/>
  <c r="B115" i="7"/>
  <c r="I114" i="7"/>
  <c r="D114" i="7"/>
  <c r="C114" i="7"/>
  <c r="B114" i="7"/>
  <c r="I113" i="7"/>
  <c r="D113" i="7"/>
  <c r="C113" i="7"/>
  <c r="B113" i="7"/>
  <c r="I112" i="7"/>
  <c r="D112" i="7"/>
  <c r="C112" i="7"/>
  <c r="B112" i="7"/>
  <c r="I111" i="7"/>
  <c r="D111" i="7"/>
  <c r="C111" i="7"/>
  <c r="B111" i="7"/>
  <c r="I110" i="7"/>
  <c r="D110" i="7"/>
  <c r="C110" i="7"/>
  <c r="B110" i="7"/>
  <c r="I109" i="7"/>
  <c r="D109" i="7"/>
  <c r="C109" i="7"/>
  <c r="B109" i="7"/>
  <c r="I108" i="7"/>
  <c r="D108" i="7"/>
  <c r="C108" i="7"/>
  <c r="B108" i="7"/>
  <c r="I107" i="7"/>
  <c r="D107" i="7"/>
  <c r="C107" i="7"/>
  <c r="B107" i="7"/>
  <c r="I106" i="7"/>
  <c r="D106" i="7"/>
  <c r="C106" i="7"/>
  <c r="B106" i="7"/>
  <c r="I105" i="7"/>
  <c r="D105" i="7"/>
  <c r="C105" i="7"/>
  <c r="B105" i="7"/>
  <c r="I104" i="7"/>
  <c r="D104" i="7"/>
  <c r="C104" i="7"/>
  <c r="B104" i="7"/>
  <c r="I103" i="7"/>
  <c r="D103" i="7"/>
  <c r="C103" i="7"/>
  <c r="B103" i="7"/>
  <c r="I102" i="7"/>
  <c r="D102" i="7"/>
  <c r="C102" i="7"/>
  <c r="B102" i="7"/>
  <c r="I101" i="7"/>
  <c r="D101" i="7"/>
  <c r="C101" i="7"/>
  <c r="B101" i="7"/>
  <c r="I100" i="7"/>
  <c r="D100" i="7"/>
  <c r="C100" i="7"/>
  <c r="B100" i="7"/>
  <c r="I99" i="7"/>
  <c r="D99" i="7"/>
  <c r="C99" i="7"/>
  <c r="B99" i="7"/>
  <c r="I98" i="7"/>
  <c r="D98" i="7"/>
  <c r="C98" i="7"/>
  <c r="B98" i="7"/>
  <c r="I97" i="7"/>
  <c r="D97" i="7"/>
  <c r="C97" i="7"/>
  <c r="B97" i="7"/>
  <c r="I96" i="7"/>
  <c r="D96" i="7"/>
  <c r="C96" i="7"/>
  <c r="B96" i="7"/>
  <c r="I95" i="7"/>
  <c r="D95" i="7"/>
  <c r="C95" i="7"/>
  <c r="B95" i="7"/>
  <c r="I94" i="7"/>
  <c r="D94" i="7"/>
  <c r="C94" i="7"/>
  <c r="B94" i="7"/>
  <c r="I93" i="7"/>
  <c r="D93" i="7"/>
  <c r="C93" i="7"/>
  <c r="B93" i="7"/>
  <c r="I92" i="7"/>
  <c r="D92" i="7"/>
  <c r="C92" i="7"/>
  <c r="B92" i="7"/>
  <c r="I91" i="7"/>
  <c r="D91" i="7"/>
  <c r="C91" i="7"/>
  <c r="B91" i="7"/>
  <c r="I90" i="7"/>
  <c r="D90" i="7"/>
  <c r="C90" i="7"/>
  <c r="B90" i="7"/>
  <c r="I89" i="7"/>
  <c r="D89" i="7"/>
  <c r="C89" i="7"/>
  <c r="B89" i="7"/>
  <c r="I88" i="7"/>
  <c r="D88" i="7"/>
  <c r="C88" i="7"/>
  <c r="B88" i="7"/>
  <c r="I87" i="7"/>
  <c r="D87" i="7"/>
  <c r="C87" i="7"/>
  <c r="B87" i="7"/>
  <c r="I86" i="7"/>
  <c r="D86" i="7"/>
  <c r="C86" i="7"/>
  <c r="B86" i="7"/>
  <c r="I85" i="7"/>
  <c r="D85" i="7"/>
  <c r="C85" i="7"/>
  <c r="B85" i="7"/>
  <c r="I84" i="7"/>
  <c r="D84" i="7"/>
  <c r="C84" i="7"/>
  <c r="B84" i="7"/>
  <c r="I83" i="7"/>
  <c r="D83" i="7"/>
  <c r="C83" i="7"/>
  <c r="B83" i="7"/>
  <c r="I82" i="7"/>
  <c r="D82" i="7"/>
  <c r="C82" i="7"/>
  <c r="B82" i="7"/>
  <c r="I81" i="7"/>
  <c r="D81" i="7"/>
  <c r="C81" i="7"/>
  <c r="B81" i="7"/>
  <c r="I80" i="7"/>
  <c r="D80" i="7"/>
  <c r="C80" i="7"/>
  <c r="B80" i="7"/>
  <c r="I79" i="7"/>
  <c r="D79" i="7"/>
  <c r="C79" i="7"/>
  <c r="B79" i="7"/>
  <c r="I78" i="7"/>
  <c r="D78" i="7"/>
  <c r="C78" i="7"/>
  <c r="B78" i="7"/>
  <c r="I77" i="7"/>
  <c r="D77" i="7"/>
  <c r="C77" i="7"/>
  <c r="B77" i="7"/>
  <c r="I76" i="7"/>
  <c r="D76" i="7"/>
  <c r="C76" i="7"/>
  <c r="B76" i="7"/>
  <c r="I75" i="7"/>
  <c r="D75" i="7"/>
  <c r="C75" i="7"/>
  <c r="B75" i="7"/>
  <c r="I74" i="7"/>
  <c r="D74" i="7"/>
  <c r="C74" i="7"/>
  <c r="B74" i="7"/>
  <c r="I73" i="7"/>
  <c r="D73" i="7"/>
  <c r="C73" i="7"/>
  <c r="B73" i="7"/>
  <c r="I72" i="7"/>
  <c r="D72" i="7"/>
  <c r="C72" i="7"/>
  <c r="B72" i="7"/>
  <c r="I71" i="7"/>
  <c r="D71" i="7"/>
  <c r="C71" i="7"/>
  <c r="B71" i="7"/>
  <c r="I70" i="7"/>
  <c r="D70" i="7"/>
  <c r="C70" i="7"/>
  <c r="B70" i="7"/>
  <c r="I69" i="7"/>
  <c r="D69" i="7"/>
  <c r="C69" i="7"/>
  <c r="B69" i="7"/>
  <c r="I68" i="7"/>
  <c r="D68" i="7"/>
  <c r="C68" i="7"/>
  <c r="B68" i="7"/>
  <c r="I67" i="7"/>
  <c r="D67" i="7"/>
  <c r="C67" i="7"/>
  <c r="B67" i="7"/>
  <c r="I66" i="7"/>
  <c r="D66" i="7"/>
  <c r="C66" i="7"/>
  <c r="B66" i="7"/>
  <c r="I65" i="7"/>
  <c r="D65" i="7"/>
  <c r="C65" i="7"/>
  <c r="B65" i="7"/>
  <c r="I64" i="7"/>
  <c r="D64" i="7"/>
  <c r="C64" i="7"/>
  <c r="B64" i="7"/>
  <c r="I63" i="7"/>
  <c r="D63" i="7"/>
  <c r="C63" i="7"/>
  <c r="B63" i="7"/>
  <c r="I62" i="7"/>
  <c r="D62" i="7"/>
  <c r="C62" i="7"/>
  <c r="B62" i="7"/>
  <c r="I61" i="7"/>
  <c r="D61" i="7"/>
  <c r="C61" i="7"/>
  <c r="B61" i="7"/>
  <c r="I60" i="7"/>
  <c r="D60" i="7"/>
  <c r="C60" i="7"/>
  <c r="B60" i="7"/>
  <c r="I59" i="7"/>
  <c r="D59" i="7"/>
  <c r="C59" i="7"/>
  <c r="B59" i="7"/>
  <c r="I58" i="7"/>
  <c r="D58" i="7"/>
  <c r="C58" i="7"/>
  <c r="B58" i="7"/>
  <c r="I57" i="7"/>
  <c r="D57" i="7"/>
  <c r="C57" i="7"/>
  <c r="B57" i="7"/>
  <c r="I56" i="7"/>
  <c r="D56" i="7"/>
  <c r="C56" i="7"/>
  <c r="B56" i="7"/>
  <c r="I55" i="7"/>
  <c r="D55" i="7"/>
  <c r="C55" i="7"/>
  <c r="B55" i="7"/>
  <c r="I54" i="7"/>
  <c r="D54" i="7"/>
  <c r="C54" i="7"/>
  <c r="B54" i="7"/>
  <c r="I53" i="7"/>
  <c r="D53" i="7"/>
  <c r="C53" i="7"/>
  <c r="B53" i="7"/>
  <c r="I52" i="7"/>
  <c r="D52" i="7"/>
  <c r="C52" i="7"/>
  <c r="B52" i="7"/>
  <c r="I51" i="7"/>
  <c r="D51" i="7"/>
  <c r="C51" i="7"/>
  <c r="B51" i="7"/>
  <c r="I50" i="7"/>
  <c r="D50" i="7"/>
  <c r="C50" i="7"/>
  <c r="B50" i="7"/>
  <c r="I49" i="7"/>
  <c r="D49" i="7"/>
  <c r="C49" i="7"/>
  <c r="B49" i="7"/>
  <c r="I48" i="7"/>
  <c r="D48" i="7"/>
  <c r="C48" i="7"/>
  <c r="B48" i="7"/>
  <c r="I47" i="7"/>
  <c r="D47" i="7"/>
  <c r="C47" i="7"/>
  <c r="B47" i="7"/>
  <c r="I46" i="7"/>
  <c r="H46" i="7"/>
  <c r="G46" i="7" s="1"/>
  <c r="D46" i="7"/>
  <c r="C46" i="7"/>
  <c r="B46" i="7"/>
  <c r="I45" i="7"/>
  <c r="D45" i="7"/>
  <c r="C45" i="7"/>
  <c r="B45" i="7"/>
  <c r="I44" i="7"/>
  <c r="D44" i="7"/>
  <c r="C44" i="7"/>
  <c r="B44" i="7"/>
  <c r="I43" i="7"/>
  <c r="D43" i="7"/>
  <c r="C43" i="7"/>
  <c r="B43" i="7"/>
  <c r="I42" i="7"/>
  <c r="H42" i="7"/>
  <c r="G42" i="7" s="1"/>
  <c r="D42" i="7"/>
  <c r="C42" i="7"/>
  <c r="B42" i="7"/>
  <c r="I41" i="7"/>
  <c r="D41" i="7"/>
  <c r="C41" i="7"/>
  <c r="B41" i="7"/>
  <c r="I40" i="7"/>
  <c r="D40" i="7"/>
  <c r="C40" i="7"/>
  <c r="B40" i="7"/>
  <c r="I39" i="7"/>
  <c r="D39" i="7"/>
  <c r="C39" i="7"/>
  <c r="B39" i="7"/>
  <c r="I38" i="7"/>
  <c r="D38" i="7"/>
  <c r="C38" i="7"/>
  <c r="B38" i="7"/>
  <c r="I37" i="7"/>
  <c r="D37" i="7"/>
  <c r="C37" i="7"/>
  <c r="B37" i="7"/>
  <c r="I36" i="7"/>
  <c r="D36" i="7"/>
  <c r="C36" i="7"/>
  <c r="B36" i="7"/>
  <c r="I35" i="7"/>
  <c r="D35" i="7"/>
  <c r="C35" i="7"/>
  <c r="B35" i="7"/>
  <c r="I34" i="7"/>
  <c r="D34" i="7"/>
  <c r="C34" i="7"/>
  <c r="B34" i="7"/>
  <c r="I33" i="7"/>
  <c r="D33" i="7"/>
  <c r="C33" i="7"/>
  <c r="B33" i="7"/>
  <c r="I32" i="7"/>
  <c r="D32" i="7"/>
  <c r="C32" i="7"/>
  <c r="B32" i="7"/>
  <c r="I31" i="7"/>
  <c r="D31" i="7"/>
  <c r="C31" i="7"/>
  <c r="B31" i="7"/>
  <c r="I30" i="7"/>
  <c r="D30" i="7"/>
  <c r="C30" i="7"/>
  <c r="B30" i="7"/>
  <c r="I29" i="7"/>
  <c r="D29" i="7"/>
  <c r="C29" i="7"/>
  <c r="B29" i="7"/>
  <c r="I28" i="7"/>
  <c r="D28" i="7"/>
  <c r="C28" i="7"/>
  <c r="B28" i="7"/>
  <c r="I27" i="7"/>
  <c r="D27" i="7"/>
  <c r="C27" i="7"/>
  <c r="B27" i="7"/>
  <c r="I26" i="7"/>
  <c r="D26" i="7"/>
  <c r="C26" i="7"/>
  <c r="B26" i="7"/>
  <c r="I25" i="7"/>
  <c r="D25" i="7"/>
  <c r="C25" i="7"/>
  <c r="B25" i="7"/>
  <c r="I24" i="7"/>
  <c r="D24" i="7"/>
  <c r="C24" i="7"/>
  <c r="B24" i="7"/>
  <c r="I23" i="7"/>
  <c r="D23" i="7"/>
  <c r="C23" i="7"/>
  <c r="B23" i="7"/>
  <c r="I22" i="7"/>
  <c r="D22" i="7"/>
  <c r="C22" i="7"/>
  <c r="B22" i="7"/>
  <c r="I21" i="7"/>
  <c r="D21" i="7"/>
  <c r="C21" i="7"/>
  <c r="B21" i="7"/>
  <c r="I20" i="7"/>
  <c r="D20" i="7"/>
  <c r="C20" i="7"/>
  <c r="B20" i="7"/>
  <c r="I19" i="7"/>
  <c r="D19" i="7"/>
  <c r="C19" i="7"/>
  <c r="B19" i="7"/>
  <c r="I18" i="7"/>
  <c r="D18" i="7"/>
  <c r="C18" i="7"/>
  <c r="B18" i="7"/>
  <c r="I17" i="7"/>
  <c r="D17" i="7"/>
  <c r="C17" i="7"/>
  <c r="B17" i="7"/>
  <c r="I16" i="7"/>
  <c r="D16" i="7"/>
  <c r="C16" i="7"/>
  <c r="B16" i="7"/>
  <c r="I15" i="7"/>
  <c r="D15" i="7"/>
  <c r="C15" i="7"/>
  <c r="B15" i="7"/>
  <c r="I14" i="7"/>
  <c r="D14" i="7"/>
  <c r="C14" i="7"/>
  <c r="B14" i="7"/>
  <c r="I13" i="7"/>
  <c r="D13" i="7"/>
  <c r="C13" i="7"/>
  <c r="B13" i="7"/>
  <c r="I12" i="7"/>
  <c r="D12" i="7"/>
  <c r="C12" i="7"/>
  <c r="B12" i="7"/>
  <c r="I11" i="7"/>
  <c r="D11" i="7"/>
  <c r="C11" i="7"/>
  <c r="B11" i="7"/>
  <c r="I10" i="7"/>
  <c r="D10" i="7"/>
  <c r="C10" i="7"/>
  <c r="B10" i="7"/>
  <c r="I9" i="7"/>
  <c r="D9" i="7"/>
  <c r="C9" i="7"/>
  <c r="B9" i="7"/>
  <c r="I8" i="7"/>
  <c r="D8" i="7"/>
  <c r="C8" i="7"/>
  <c r="B8" i="7"/>
  <c r="I7" i="7"/>
  <c r="D7" i="7"/>
  <c r="C7" i="7"/>
  <c r="B7" i="7"/>
  <c r="I6" i="7"/>
  <c r="D6" i="7"/>
  <c r="C6" i="7"/>
  <c r="B6" i="7"/>
  <c r="I5" i="7"/>
  <c r="D5" i="7"/>
  <c r="C5" i="7"/>
  <c r="B5" i="7"/>
  <c r="I4" i="7"/>
  <c r="D4" i="7"/>
  <c r="C4" i="7"/>
  <c r="B4" i="7"/>
  <c r="I3" i="7"/>
  <c r="D3" i="7"/>
  <c r="C3" i="7"/>
  <c r="B3" i="7"/>
  <c r="I2" i="7"/>
  <c r="D2" i="7"/>
  <c r="C2" i="7"/>
  <c r="B2" i="7"/>
  <c r="N24" i="3"/>
  <c r="X161" i="2"/>
  <c r="T161" i="2"/>
  <c r="S161" i="2"/>
  <c r="R161" i="2"/>
  <c r="Q161" i="2"/>
  <c r="P161" i="2"/>
  <c r="I161" i="2"/>
  <c r="X160" i="2"/>
  <c r="T160" i="2"/>
  <c r="S160" i="2"/>
  <c r="R160" i="2"/>
  <c r="Q160" i="2"/>
  <c r="P160" i="2"/>
  <c r="I160" i="2"/>
  <c r="X159" i="2"/>
  <c r="T159" i="2"/>
  <c r="S159" i="2"/>
  <c r="R159" i="2"/>
  <c r="Q159" i="2"/>
  <c r="P159" i="2"/>
  <c r="I159" i="2"/>
  <c r="X158" i="2"/>
  <c r="T158" i="2"/>
  <c r="S158" i="2"/>
  <c r="R158" i="2"/>
  <c r="Q158" i="2"/>
  <c r="P158" i="2"/>
  <c r="U158" i="2" s="1"/>
  <c r="I158" i="2"/>
  <c r="X157" i="2"/>
  <c r="T157" i="2"/>
  <c r="S157" i="2"/>
  <c r="R157" i="2"/>
  <c r="Q157" i="2"/>
  <c r="P157" i="2"/>
  <c r="I157" i="2"/>
  <c r="X156" i="2"/>
  <c r="T156" i="2"/>
  <c r="S156" i="2"/>
  <c r="R156" i="2"/>
  <c r="Q156" i="2"/>
  <c r="P156" i="2"/>
  <c r="I156" i="2"/>
  <c r="X155" i="2"/>
  <c r="T155" i="2"/>
  <c r="S155" i="2"/>
  <c r="R155" i="2"/>
  <c r="Q155" i="2"/>
  <c r="P155" i="2"/>
  <c r="I155" i="2"/>
  <c r="X154" i="2"/>
  <c r="T154" i="2"/>
  <c r="S154" i="2"/>
  <c r="R154" i="2"/>
  <c r="Q154" i="2"/>
  <c r="P154" i="2"/>
  <c r="I154" i="2"/>
  <c r="X153" i="2"/>
  <c r="T153" i="2"/>
  <c r="S153" i="2"/>
  <c r="R153" i="2"/>
  <c r="Q153" i="2"/>
  <c r="P153" i="2"/>
  <c r="I153" i="2"/>
  <c r="X152" i="2"/>
  <c r="T152" i="2"/>
  <c r="S152" i="2"/>
  <c r="R152" i="2"/>
  <c r="Q152" i="2"/>
  <c r="P152" i="2"/>
  <c r="I152" i="2"/>
  <c r="X151" i="2"/>
  <c r="T151" i="2"/>
  <c r="S151" i="2"/>
  <c r="R151" i="2"/>
  <c r="Q151" i="2"/>
  <c r="V151" i="2" s="1"/>
  <c r="P151" i="2"/>
  <c r="I151" i="2"/>
  <c r="X150" i="2"/>
  <c r="T150" i="2"/>
  <c r="H159" i="7" s="1"/>
  <c r="G159" i="7" s="1"/>
  <c r="S150" i="2"/>
  <c r="R150" i="2"/>
  <c r="Q150" i="2"/>
  <c r="P150" i="2"/>
  <c r="I150" i="2"/>
  <c r="X149" i="2"/>
  <c r="T149" i="2"/>
  <c r="S149" i="2"/>
  <c r="R149" i="2"/>
  <c r="Q149" i="2"/>
  <c r="P149" i="2"/>
  <c r="I149" i="2"/>
  <c r="X148" i="2"/>
  <c r="T148" i="2"/>
  <c r="S148" i="2"/>
  <c r="R148" i="2"/>
  <c r="Q148" i="2"/>
  <c r="P148" i="2"/>
  <c r="I148" i="2"/>
  <c r="X147" i="2"/>
  <c r="T147" i="2"/>
  <c r="S147" i="2"/>
  <c r="R147" i="2"/>
  <c r="Q147" i="2"/>
  <c r="P147" i="2"/>
  <c r="I147" i="2"/>
  <c r="X146" i="2"/>
  <c r="T146" i="2"/>
  <c r="S146" i="2"/>
  <c r="R146" i="2"/>
  <c r="Q146" i="2"/>
  <c r="P146" i="2"/>
  <c r="I146" i="2"/>
  <c r="X145" i="2"/>
  <c r="T145" i="2"/>
  <c r="S145" i="2"/>
  <c r="R145" i="2"/>
  <c r="Q145" i="2"/>
  <c r="P145" i="2"/>
  <c r="U145" i="2" s="1"/>
  <c r="I145" i="2"/>
  <c r="X144" i="2"/>
  <c r="T144" i="2"/>
  <c r="S144" i="2"/>
  <c r="R144" i="2"/>
  <c r="Q144" i="2"/>
  <c r="P144" i="2"/>
  <c r="I144" i="2"/>
  <c r="X143" i="2"/>
  <c r="T143" i="2"/>
  <c r="S143" i="2"/>
  <c r="R143" i="2"/>
  <c r="Q143" i="2"/>
  <c r="P143" i="2"/>
  <c r="I143" i="2"/>
  <c r="X142" i="2"/>
  <c r="T142" i="2"/>
  <c r="S142" i="2"/>
  <c r="R142" i="2"/>
  <c r="Q142" i="2"/>
  <c r="P142" i="2"/>
  <c r="I142" i="2"/>
  <c r="X141" i="2"/>
  <c r="T141" i="2"/>
  <c r="S141" i="2"/>
  <c r="R141" i="2"/>
  <c r="Q141" i="2"/>
  <c r="P141" i="2"/>
  <c r="I141" i="2"/>
  <c r="X140" i="2"/>
  <c r="T140" i="2"/>
  <c r="S140" i="2"/>
  <c r="R140" i="2"/>
  <c r="Q140" i="2"/>
  <c r="U140" i="2" s="1"/>
  <c r="P140" i="2"/>
  <c r="I140" i="2"/>
  <c r="X139" i="2"/>
  <c r="T139" i="2"/>
  <c r="S139" i="2"/>
  <c r="R139" i="2"/>
  <c r="Q139" i="2"/>
  <c r="P139" i="2"/>
  <c r="I139" i="2"/>
  <c r="X138" i="2"/>
  <c r="T138" i="2"/>
  <c r="S138" i="2"/>
  <c r="R138" i="2"/>
  <c r="Q138" i="2"/>
  <c r="P138" i="2"/>
  <c r="U138" i="2" s="1"/>
  <c r="I138" i="2"/>
  <c r="X137" i="2"/>
  <c r="T137" i="2"/>
  <c r="S137" i="2"/>
  <c r="H120" i="7" s="1"/>
  <c r="G120" i="7" s="1"/>
  <c r="R137" i="2"/>
  <c r="Q137" i="2"/>
  <c r="P137" i="2"/>
  <c r="I137" i="2"/>
  <c r="X136" i="2"/>
  <c r="T136" i="2"/>
  <c r="S136" i="2"/>
  <c r="R136" i="2"/>
  <c r="Q136" i="2"/>
  <c r="P136" i="2"/>
  <c r="I136" i="2"/>
  <c r="X135" i="2"/>
  <c r="T135" i="2"/>
  <c r="S135" i="2"/>
  <c r="R135" i="2"/>
  <c r="Q135" i="2"/>
  <c r="P135" i="2"/>
  <c r="I135" i="2"/>
  <c r="X134" i="2"/>
  <c r="T134" i="2"/>
  <c r="S134" i="2"/>
  <c r="R134" i="2"/>
  <c r="Q134" i="2"/>
  <c r="P134" i="2"/>
  <c r="I134" i="2"/>
  <c r="X133" i="2"/>
  <c r="T133" i="2"/>
  <c r="S133" i="2"/>
  <c r="R133" i="2"/>
  <c r="Q133" i="2"/>
  <c r="H55" i="7" s="1"/>
  <c r="G55" i="7" s="1"/>
  <c r="P133" i="2"/>
  <c r="I133" i="2"/>
  <c r="X132" i="2"/>
  <c r="T132" i="2"/>
  <c r="S132" i="2"/>
  <c r="H119" i="7" s="1"/>
  <c r="G119" i="7" s="1"/>
  <c r="R132" i="2"/>
  <c r="Q132" i="2"/>
  <c r="P132" i="2"/>
  <c r="I132" i="2"/>
  <c r="X131" i="2"/>
  <c r="T131" i="2"/>
  <c r="S131" i="2"/>
  <c r="R131" i="2"/>
  <c r="Q131" i="2"/>
  <c r="U131" i="2" s="1"/>
  <c r="P131" i="2"/>
  <c r="I131" i="2"/>
  <c r="X130" i="2"/>
  <c r="T130" i="2"/>
  <c r="S130" i="2"/>
  <c r="R130" i="2"/>
  <c r="Q130" i="2"/>
  <c r="P130" i="2"/>
  <c r="I130" i="2"/>
  <c r="X129" i="2"/>
  <c r="T129" i="2"/>
  <c r="S129" i="2"/>
  <c r="R129" i="2"/>
  <c r="Q129" i="2"/>
  <c r="P129" i="2"/>
  <c r="U129" i="2" s="1"/>
  <c r="I129" i="2"/>
  <c r="X128" i="2"/>
  <c r="T128" i="2"/>
  <c r="S128" i="2"/>
  <c r="R128" i="2"/>
  <c r="Q128" i="2"/>
  <c r="P128" i="2"/>
  <c r="I128" i="2"/>
  <c r="X127" i="2"/>
  <c r="T127" i="2"/>
  <c r="S127" i="2"/>
  <c r="R127" i="2"/>
  <c r="Q127" i="2"/>
  <c r="P127" i="2"/>
  <c r="I127" i="2"/>
  <c r="X126" i="2"/>
  <c r="T126" i="2"/>
  <c r="S126" i="2"/>
  <c r="R126" i="2"/>
  <c r="Q126" i="2"/>
  <c r="P126" i="2"/>
  <c r="I126" i="2"/>
  <c r="X125" i="2"/>
  <c r="T125" i="2"/>
  <c r="S125" i="2"/>
  <c r="R125" i="2"/>
  <c r="Q125" i="2"/>
  <c r="P125" i="2"/>
  <c r="I125" i="2"/>
  <c r="X124" i="2"/>
  <c r="T124" i="2"/>
  <c r="S124" i="2"/>
  <c r="R124" i="2"/>
  <c r="Q124" i="2"/>
  <c r="P124" i="2"/>
  <c r="I124" i="2"/>
  <c r="X123" i="2"/>
  <c r="T123" i="2"/>
  <c r="S123" i="2"/>
  <c r="R123" i="2"/>
  <c r="Q123" i="2"/>
  <c r="P123" i="2"/>
  <c r="I123" i="2"/>
  <c r="X122" i="2"/>
  <c r="T122" i="2"/>
  <c r="S122" i="2"/>
  <c r="R122" i="2"/>
  <c r="Q122" i="2"/>
  <c r="H48" i="7" s="1"/>
  <c r="G48" i="7" s="1"/>
  <c r="P122" i="2"/>
  <c r="I122" i="2"/>
  <c r="X121" i="2"/>
  <c r="T121" i="2"/>
  <c r="S121" i="2"/>
  <c r="R121" i="2"/>
  <c r="Q121" i="2"/>
  <c r="P121" i="2"/>
  <c r="I121" i="2"/>
  <c r="X120" i="2"/>
  <c r="T120" i="2"/>
  <c r="S120" i="2"/>
  <c r="R120" i="2"/>
  <c r="Q120" i="2"/>
  <c r="P120" i="2"/>
  <c r="I120" i="2"/>
  <c r="X119" i="2"/>
  <c r="T119" i="2"/>
  <c r="S119" i="2"/>
  <c r="R119" i="2"/>
  <c r="Q119" i="2"/>
  <c r="P119" i="2"/>
  <c r="I119" i="2"/>
  <c r="X118" i="2"/>
  <c r="T118" i="2"/>
  <c r="S118" i="2"/>
  <c r="R118" i="2"/>
  <c r="Q118" i="2"/>
  <c r="P118" i="2"/>
  <c r="I118" i="2"/>
  <c r="X117" i="2"/>
  <c r="T117" i="2"/>
  <c r="S117" i="2"/>
  <c r="H111" i="7" s="1"/>
  <c r="G111" i="7" s="1"/>
  <c r="R117" i="2"/>
  <c r="Q117" i="2"/>
  <c r="P117" i="2"/>
  <c r="I117" i="2"/>
  <c r="X116" i="2"/>
  <c r="T116" i="2"/>
  <c r="S116" i="2"/>
  <c r="R116" i="2"/>
  <c r="Q116" i="2"/>
  <c r="P116" i="2"/>
  <c r="I116" i="2"/>
  <c r="X115" i="2"/>
  <c r="T115" i="2"/>
  <c r="S115" i="2"/>
  <c r="R115" i="2"/>
  <c r="Q115" i="2"/>
  <c r="P115" i="2"/>
  <c r="I115" i="2"/>
  <c r="X114" i="2"/>
  <c r="T114" i="2"/>
  <c r="S114" i="2"/>
  <c r="R114" i="2"/>
  <c r="Q114" i="2"/>
  <c r="P114" i="2"/>
  <c r="I114" i="2"/>
  <c r="X113" i="2"/>
  <c r="T113" i="2"/>
  <c r="S113" i="2"/>
  <c r="R113" i="2"/>
  <c r="Q113" i="2"/>
  <c r="P113" i="2"/>
  <c r="I113" i="2"/>
  <c r="X112" i="2"/>
  <c r="T112" i="2"/>
  <c r="H137" i="7" s="1"/>
  <c r="G137" i="7" s="1"/>
  <c r="S112" i="2"/>
  <c r="R112" i="2"/>
  <c r="Q112" i="2"/>
  <c r="P112" i="2"/>
  <c r="I112" i="2"/>
  <c r="X111" i="2"/>
  <c r="T111" i="2"/>
  <c r="S111" i="2"/>
  <c r="R111" i="2"/>
  <c r="Q111" i="2"/>
  <c r="P111" i="2"/>
  <c r="I111" i="2"/>
  <c r="X110" i="2"/>
  <c r="T110" i="2"/>
  <c r="S110" i="2"/>
  <c r="R110" i="2"/>
  <c r="Q110" i="2"/>
  <c r="P110" i="2"/>
  <c r="V110" i="2" s="1"/>
  <c r="I110" i="2"/>
  <c r="X109" i="2"/>
  <c r="T109" i="2"/>
  <c r="S109" i="2"/>
  <c r="R109" i="2"/>
  <c r="Q109" i="2"/>
  <c r="P109" i="2"/>
  <c r="I109" i="2"/>
  <c r="X108" i="2"/>
  <c r="T108" i="2"/>
  <c r="S108" i="2"/>
  <c r="R108" i="2"/>
  <c r="Q108" i="2"/>
  <c r="P108" i="2"/>
  <c r="I108" i="2"/>
  <c r="X107" i="2"/>
  <c r="T107" i="2"/>
  <c r="H136" i="7" s="1"/>
  <c r="G136" i="7" s="1"/>
  <c r="S107" i="2"/>
  <c r="R107" i="2"/>
  <c r="Q107" i="2"/>
  <c r="P107" i="2"/>
  <c r="I107" i="2"/>
  <c r="X106" i="2"/>
  <c r="T106" i="2"/>
  <c r="S106" i="2"/>
  <c r="R106" i="2"/>
  <c r="Q106" i="2"/>
  <c r="P106" i="2"/>
  <c r="I106" i="2"/>
  <c r="X105" i="2"/>
  <c r="T105" i="2"/>
  <c r="S105" i="2"/>
  <c r="R105" i="2"/>
  <c r="Q105" i="2"/>
  <c r="P105" i="2"/>
  <c r="I105" i="2"/>
  <c r="X104" i="2"/>
  <c r="T104" i="2"/>
  <c r="S104" i="2"/>
  <c r="R104" i="2"/>
  <c r="Q104" i="2"/>
  <c r="P104" i="2"/>
  <c r="I104" i="2"/>
  <c r="X103" i="2"/>
  <c r="T103" i="2"/>
  <c r="S103" i="2"/>
  <c r="R103" i="2"/>
  <c r="Q103" i="2"/>
  <c r="U103" i="2" s="1"/>
  <c r="P103" i="2"/>
  <c r="I103" i="2"/>
  <c r="X102" i="2"/>
  <c r="T102" i="2"/>
  <c r="S102" i="2"/>
  <c r="H103" i="7" s="1"/>
  <c r="G103" i="7" s="1"/>
  <c r="R102" i="2"/>
  <c r="Q102" i="2"/>
  <c r="P102" i="2"/>
  <c r="I102" i="2"/>
  <c r="X101" i="2"/>
  <c r="T101" i="2"/>
  <c r="S101" i="2"/>
  <c r="R101" i="2"/>
  <c r="Q101" i="2"/>
  <c r="P101" i="2"/>
  <c r="I101" i="2"/>
  <c r="X100" i="2"/>
  <c r="T100" i="2"/>
  <c r="S100" i="2"/>
  <c r="R100" i="2"/>
  <c r="Q100" i="2"/>
  <c r="P100" i="2"/>
  <c r="I100" i="2"/>
  <c r="X99" i="2"/>
  <c r="T99" i="2"/>
  <c r="S99" i="2"/>
  <c r="R99" i="2"/>
  <c r="Q99" i="2"/>
  <c r="P99" i="2"/>
  <c r="I99" i="2"/>
  <c r="X98" i="2"/>
  <c r="T98" i="2"/>
  <c r="S98" i="2"/>
  <c r="R98" i="2"/>
  <c r="Q98" i="2"/>
  <c r="P98" i="2"/>
  <c r="I98" i="2"/>
  <c r="X97" i="2"/>
  <c r="T97" i="2"/>
  <c r="S97" i="2"/>
  <c r="H126" i="7" s="1"/>
  <c r="G126" i="7" s="1"/>
  <c r="R97" i="2"/>
  <c r="Q97" i="2"/>
  <c r="P97" i="2"/>
  <c r="I97" i="2"/>
  <c r="X96" i="2"/>
  <c r="T96" i="2"/>
  <c r="S96" i="2"/>
  <c r="R96" i="2"/>
  <c r="Q96" i="2"/>
  <c r="P96" i="2"/>
  <c r="I96" i="2"/>
  <c r="X95" i="2"/>
  <c r="T95" i="2"/>
  <c r="S95" i="2"/>
  <c r="R95" i="2"/>
  <c r="Q95" i="2"/>
  <c r="P95" i="2"/>
  <c r="I95" i="2"/>
  <c r="X94" i="2"/>
  <c r="T94" i="2"/>
  <c r="S94" i="2"/>
  <c r="R94" i="2"/>
  <c r="Q94" i="2"/>
  <c r="P94" i="2"/>
  <c r="V94" i="2" s="1"/>
  <c r="I94" i="2"/>
  <c r="X93" i="2"/>
  <c r="T93" i="2"/>
  <c r="S93" i="2"/>
  <c r="R93" i="2"/>
  <c r="Q93" i="2"/>
  <c r="H61" i="7" s="1"/>
  <c r="G61" i="7" s="1"/>
  <c r="P93" i="2"/>
  <c r="I93" i="2"/>
  <c r="X92" i="2"/>
  <c r="T92" i="2"/>
  <c r="S92" i="2"/>
  <c r="H125" i="7" s="1"/>
  <c r="G125" i="7" s="1"/>
  <c r="R92" i="2"/>
  <c r="Q92" i="2"/>
  <c r="P92" i="2"/>
  <c r="I92" i="2"/>
  <c r="X91" i="2"/>
  <c r="T91" i="2"/>
  <c r="S91" i="2"/>
  <c r="R91" i="2"/>
  <c r="Q91" i="2"/>
  <c r="P91" i="2"/>
  <c r="I91" i="2"/>
  <c r="X90" i="2"/>
  <c r="T90" i="2"/>
  <c r="S90" i="2"/>
  <c r="R90" i="2"/>
  <c r="V90" i="2" s="1"/>
  <c r="Q90" i="2"/>
  <c r="P90" i="2"/>
  <c r="I90" i="2"/>
  <c r="X89" i="2"/>
  <c r="T89" i="2"/>
  <c r="S89" i="2"/>
  <c r="R89" i="2"/>
  <c r="Q89" i="2"/>
  <c r="P89" i="2"/>
  <c r="I89" i="2"/>
  <c r="X88" i="2"/>
  <c r="T88" i="2"/>
  <c r="S88" i="2"/>
  <c r="R88" i="2"/>
  <c r="Q88" i="2"/>
  <c r="P88" i="2"/>
  <c r="I88" i="2"/>
  <c r="X87" i="2"/>
  <c r="T87" i="2"/>
  <c r="S87" i="2"/>
  <c r="R87" i="2"/>
  <c r="Q87" i="2"/>
  <c r="P87" i="2"/>
  <c r="I87" i="2"/>
  <c r="X86" i="2"/>
  <c r="T86" i="2"/>
  <c r="S86" i="2"/>
  <c r="R86" i="2"/>
  <c r="Q86" i="2"/>
  <c r="P86" i="2"/>
  <c r="I86" i="2"/>
  <c r="X85" i="2"/>
  <c r="T85" i="2"/>
  <c r="S85" i="2"/>
  <c r="R85" i="2"/>
  <c r="Q85" i="2"/>
  <c r="P85" i="2"/>
  <c r="I85" i="2"/>
  <c r="X84" i="2"/>
  <c r="T84" i="2"/>
  <c r="S84" i="2"/>
  <c r="R84" i="2"/>
  <c r="Q84" i="2"/>
  <c r="P84" i="2"/>
  <c r="I84" i="2"/>
  <c r="X83" i="2"/>
  <c r="T83" i="2"/>
  <c r="S83" i="2"/>
  <c r="R83" i="2"/>
  <c r="Q83" i="2"/>
  <c r="P83" i="2"/>
  <c r="I83" i="2"/>
  <c r="X82" i="2"/>
  <c r="T82" i="2"/>
  <c r="S82" i="2"/>
  <c r="R82" i="2"/>
  <c r="Q82" i="2"/>
  <c r="P82" i="2"/>
  <c r="I82" i="2"/>
  <c r="X81" i="2"/>
  <c r="T81" i="2"/>
  <c r="S81" i="2"/>
  <c r="R81" i="2"/>
  <c r="Q81" i="2"/>
  <c r="P81" i="2"/>
  <c r="I81" i="2"/>
  <c r="X80" i="2"/>
  <c r="T80" i="2"/>
  <c r="S80" i="2"/>
  <c r="R80" i="2"/>
  <c r="Q80" i="2"/>
  <c r="P80" i="2"/>
  <c r="I80" i="2"/>
  <c r="X79" i="2"/>
  <c r="T79" i="2"/>
  <c r="S79" i="2"/>
  <c r="R79" i="2"/>
  <c r="Q79" i="2"/>
  <c r="P79" i="2"/>
  <c r="I79" i="2"/>
  <c r="X78" i="2"/>
  <c r="T78" i="2"/>
  <c r="S78" i="2"/>
  <c r="R78" i="2"/>
  <c r="Q78" i="2"/>
  <c r="P78" i="2"/>
  <c r="I78" i="2"/>
  <c r="X77" i="2"/>
  <c r="T77" i="2"/>
  <c r="H154" i="7" s="1"/>
  <c r="G154" i="7" s="1"/>
  <c r="S77" i="2"/>
  <c r="R77" i="2"/>
  <c r="Q77" i="2"/>
  <c r="H58" i="7" s="1"/>
  <c r="G58" i="7" s="1"/>
  <c r="P77" i="2"/>
  <c r="I77" i="2"/>
  <c r="X76" i="2"/>
  <c r="T76" i="2"/>
  <c r="S76" i="2"/>
  <c r="R76" i="2"/>
  <c r="Q76" i="2"/>
  <c r="P76" i="2"/>
  <c r="I76" i="2"/>
  <c r="X75" i="2"/>
  <c r="T75" i="2"/>
  <c r="S75" i="2"/>
  <c r="R75" i="2"/>
  <c r="Q75" i="2"/>
  <c r="P75" i="2"/>
  <c r="I75" i="2"/>
  <c r="X74" i="2"/>
  <c r="T74" i="2"/>
  <c r="H150" i="7" s="1"/>
  <c r="G150" i="7" s="1"/>
  <c r="S74" i="2"/>
  <c r="R74" i="2"/>
  <c r="Q74" i="2"/>
  <c r="P74" i="2"/>
  <c r="I74" i="2"/>
  <c r="X73" i="2"/>
  <c r="T73" i="2"/>
  <c r="S73" i="2"/>
  <c r="R73" i="2"/>
  <c r="Q73" i="2"/>
  <c r="P73" i="2"/>
  <c r="I73" i="2"/>
  <c r="X72" i="2"/>
  <c r="T72" i="2"/>
  <c r="S72" i="2"/>
  <c r="H118" i="7" s="1"/>
  <c r="G118" i="7" s="1"/>
  <c r="R72" i="2"/>
  <c r="Q72" i="2"/>
  <c r="P72" i="2"/>
  <c r="I72" i="2"/>
  <c r="X71" i="2"/>
  <c r="T71" i="2"/>
  <c r="S71" i="2"/>
  <c r="R71" i="2"/>
  <c r="Q71" i="2"/>
  <c r="P71" i="2"/>
  <c r="I71" i="2"/>
  <c r="X70" i="2"/>
  <c r="T70" i="2"/>
  <c r="S70" i="2"/>
  <c r="R70" i="2"/>
  <c r="Q70" i="2"/>
  <c r="P70" i="2"/>
  <c r="I70" i="2"/>
  <c r="X69" i="2"/>
  <c r="T69" i="2"/>
  <c r="S69" i="2"/>
  <c r="R69" i="2"/>
  <c r="Q69" i="2"/>
  <c r="P69" i="2"/>
  <c r="I69" i="2"/>
  <c r="X68" i="2"/>
  <c r="U68" i="2"/>
  <c r="T68" i="2"/>
  <c r="S68" i="2"/>
  <c r="R68" i="2"/>
  <c r="Q68" i="2"/>
  <c r="P68" i="2"/>
  <c r="I68" i="2"/>
  <c r="X67" i="2"/>
  <c r="T67" i="2"/>
  <c r="H149" i="7" s="1"/>
  <c r="G149" i="7" s="1"/>
  <c r="S67" i="2"/>
  <c r="R67" i="2"/>
  <c r="Q67" i="2"/>
  <c r="P67" i="2"/>
  <c r="I67" i="2"/>
  <c r="X66" i="2"/>
  <c r="T66" i="2"/>
  <c r="S66" i="2"/>
  <c r="R66" i="2"/>
  <c r="Q66" i="2"/>
  <c r="P66" i="2"/>
  <c r="I66" i="2"/>
  <c r="X65" i="2"/>
  <c r="T65" i="2"/>
  <c r="S65" i="2"/>
  <c r="R65" i="2"/>
  <c r="Q65" i="2"/>
  <c r="P65" i="2"/>
  <c r="I65" i="2"/>
  <c r="X64" i="2"/>
  <c r="T64" i="2"/>
  <c r="S64" i="2"/>
  <c r="R64" i="2"/>
  <c r="Q64" i="2"/>
  <c r="P64" i="2"/>
  <c r="I64" i="2"/>
  <c r="X63" i="2"/>
  <c r="T63" i="2"/>
  <c r="S63" i="2"/>
  <c r="R63" i="2"/>
  <c r="Q63" i="2"/>
  <c r="P63" i="2"/>
  <c r="I63" i="2"/>
  <c r="X62" i="2"/>
  <c r="T62" i="2"/>
  <c r="S62" i="2"/>
  <c r="R62" i="2"/>
  <c r="Q62" i="2"/>
  <c r="P62" i="2"/>
  <c r="I62" i="2"/>
  <c r="X61" i="2"/>
  <c r="T61" i="2"/>
  <c r="S61" i="2"/>
  <c r="R61" i="2"/>
  <c r="Q61" i="2"/>
  <c r="P61" i="2"/>
  <c r="I61" i="2"/>
  <c r="X60" i="2"/>
  <c r="T60" i="2"/>
  <c r="S60" i="2"/>
  <c r="R60" i="2"/>
  <c r="Q60" i="2"/>
  <c r="P60" i="2"/>
  <c r="I60" i="2"/>
  <c r="X59" i="2"/>
  <c r="T59" i="2"/>
  <c r="S59" i="2"/>
  <c r="R59" i="2"/>
  <c r="Q59" i="2"/>
  <c r="P59" i="2"/>
  <c r="I59" i="2"/>
  <c r="X58" i="2"/>
  <c r="T58" i="2"/>
  <c r="S58" i="2"/>
  <c r="R58" i="2"/>
  <c r="Q58" i="2"/>
  <c r="P58" i="2"/>
  <c r="I58" i="2"/>
  <c r="X57" i="2"/>
  <c r="T57" i="2"/>
  <c r="S57" i="2"/>
  <c r="R57" i="2"/>
  <c r="Q57" i="2"/>
  <c r="H51" i="7" s="1"/>
  <c r="G51" i="7" s="1"/>
  <c r="P57" i="2"/>
  <c r="I57" i="2"/>
  <c r="X56" i="2"/>
  <c r="T56" i="2"/>
  <c r="S56" i="2"/>
  <c r="R56" i="2"/>
  <c r="Q56" i="2"/>
  <c r="P56" i="2"/>
  <c r="V56" i="2" s="1"/>
  <c r="I56" i="2"/>
  <c r="X55" i="2"/>
  <c r="T55" i="2"/>
  <c r="S55" i="2"/>
  <c r="R55" i="2"/>
  <c r="Q55" i="2"/>
  <c r="P55" i="2"/>
  <c r="I55" i="2"/>
  <c r="X54" i="2"/>
  <c r="T54" i="2"/>
  <c r="S54" i="2"/>
  <c r="R54" i="2"/>
  <c r="Q54" i="2"/>
  <c r="P54" i="2"/>
  <c r="I54" i="2"/>
  <c r="X53" i="2"/>
  <c r="T53" i="2"/>
  <c r="H146" i="7" s="1"/>
  <c r="G146" i="7" s="1"/>
  <c r="S53" i="2"/>
  <c r="H114" i="7" s="1"/>
  <c r="G114" i="7" s="1"/>
  <c r="R53" i="2"/>
  <c r="Q53" i="2"/>
  <c r="P53" i="2"/>
  <c r="I53" i="2"/>
  <c r="X52" i="2"/>
  <c r="T52" i="2"/>
  <c r="S52" i="2"/>
  <c r="R52" i="2"/>
  <c r="Q52" i="2"/>
  <c r="P52" i="2"/>
  <c r="I52" i="2"/>
  <c r="X51" i="2"/>
  <c r="T51" i="2"/>
  <c r="S51" i="2"/>
  <c r="R51" i="2"/>
  <c r="Q51" i="2"/>
  <c r="P51" i="2"/>
  <c r="I51" i="2"/>
  <c r="X50" i="2"/>
  <c r="T50" i="2"/>
  <c r="S50" i="2"/>
  <c r="R50" i="2"/>
  <c r="Q50" i="2"/>
  <c r="P50" i="2"/>
  <c r="I50" i="2"/>
  <c r="X49" i="2"/>
  <c r="T49" i="2"/>
  <c r="S49" i="2"/>
  <c r="R49" i="2"/>
  <c r="Q49" i="2"/>
  <c r="V49" i="2" s="1"/>
  <c r="P49" i="2"/>
  <c r="I49" i="2"/>
  <c r="X48" i="2"/>
  <c r="T48" i="2"/>
  <c r="S48" i="2"/>
  <c r="R48" i="2"/>
  <c r="Q48" i="2"/>
  <c r="P48" i="2"/>
  <c r="I48" i="2"/>
  <c r="X47" i="2"/>
  <c r="T47" i="2"/>
  <c r="S47" i="2"/>
  <c r="R47" i="2"/>
  <c r="Q47" i="2"/>
  <c r="P47" i="2"/>
  <c r="U47" i="2" s="1"/>
  <c r="I47" i="2"/>
  <c r="X46" i="2"/>
  <c r="T46" i="2"/>
  <c r="S46" i="2"/>
  <c r="R46" i="2"/>
  <c r="Q46" i="2"/>
  <c r="P46" i="2"/>
  <c r="I46" i="2"/>
  <c r="X45" i="2"/>
  <c r="T45" i="2"/>
  <c r="S45" i="2"/>
  <c r="R45" i="2"/>
  <c r="Q45" i="2"/>
  <c r="P45" i="2"/>
  <c r="I45" i="2"/>
  <c r="X44" i="2"/>
  <c r="T44" i="2"/>
  <c r="S44" i="2"/>
  <c r="R44" i="2"/>
  <c r="Q44" i="2"/>
  <c r="P44" i="2"/>
  <c r="I44" i="2"/>
  <c r="X43" i="2"/>
  <c r="T43" i="2"/>
  <c r="S43" i="2"/>
  <c r="R43" i="2"/>
  <c r="Q43" i="2"/>
  <c r="P43" i="2"/>
  <c r="I43" i="2"/>
  <c r="X42" i="2"/>
  <c r="T42" i="2"/>
  <c r="S42" i="2"/>
  <c r="R42" i="2"/>
  <c r="Q42" i="2"/>
  <c r="P42" i="2"/>
  <c r="I42" i="2"/>
  <c r="X41" i="2"/>
  <c r="T41" i="2"/>
  <c r="S41" i="2"/>
  <c r="R41" i="2"/>
  <c r="Q41" i="2"/>
  <c r="P41" i="2"/>
  <c r="I41" i="2"/>
  <c r="X40" i="2"/>
  <c r="T40" i="2"/>
  <c r="S40" i="2"/>
  <c r="R40" i="2"/>
  <c r="Q40" i="2"/>
  <c r="P40" i="2"/>
  <c r="U40" i="2" s="1"/>
  <c r="I40" i="2"/>
  <c r="X39" i="2"/>
  <c r="T39" i="2"/>
  <c r="S39" i="2"/>
  <c r="R39" i="2"/>
  <c r="Q39" i="2"/>
  <c r="P39" i="2"/>
  <c r="I39" i="2"/>
  <c r="X38" i="2"/>
  <c r="T38" i="2"/>
  <c r="S38" i="2"/>
  <c r="R38" i="2"/>
  <c r="Q38" i="2"/>
  <c r="P38" i="2"/>
  <c r="I38" i="2"/>
  <c r="X37" i="2"/>
  <c r="T37" i="2"/>
  <c r="S37" i="2"/>
  <c r="R37" i="2"/>
  <c r="Q37" i="2"/>
  <c r="P37" i="2"/>
  <c r="I37" i="2"/>
  <c r="X36" i="2"/>
  <c r="T36" i="2"/>
  <c r="S36" i="2"/>
  <c r="R36" i="2"/>
  <c r="Q36" i="2"/>
  <c r="P36" i="2"/>
  <c r="I36" i="2"/>
  <c r="X35" i="2"/>
  <c r="T35" i="2"/>
  <c r="S35" i="2"/>
  <c r="R35" i="2"/>
  <c r="Q35" i="2"/>
  <c r="P35" i="2"/>
  <c r="I35" i="2"/>
  <c r="X34" i="2"/>
  <c r="T34" i="2"/>
  <c r="S34" i="2"/>
  <c r="R34" i="2"/>
  <c r="Q34" i="2"/>
  <c r="P34" i="2"/>
  <c r="I34" i="2"/>
  <c r="X33" i="2"/>
  <c r="T33" i="2"/>
  <c r="S33" i="2"/>
  <c r="R33" i="2"/>
  <c r="Q33" i="2"/>
  <c r="P33" i="2"/>
  <c r="I33" i="2"/>
  <c r="X32" i="2"/>
  <c r="T32" i="2"/>
  <c r="H139" i="7" s="1"/>
  <c r="G139" i="7" s="1"/>
  <c r="S32" i="2"/>
  <c r="R32" i="2"/>
  <c r="Q32" i="2"/>
  <c r="P32" i="2"/>
  <c r="I32" i="2"/>
  <c r="X31" i="2"/>
  <c r="T31" i="2"/>
  <c r="S31" i="2"/>
  <c r="R31" i="2"/>
  <c r="Q31" i="2"/>
  <c r="P31" i="2"/>
  <c r="I31" i="2"/>
  <c r="X30" i="2"/>
  <c r="T30" i="2"/>
  <c r="S30" i="2"/>
  <c r="V30" i="2" s="1"/>
  <c r="R30" i="2"/>
  <c r="Q30" i="2"/>
  <c r="P30" i="2"/>
  <c r="I30" i="2"/>
  <c r="X29" i="2"/>
  <c r="T29" i="2"/>
  <c r="S29" i="2"/>
  <c r="R29" i="2"/>
  <c r="Q29" i="2"/>
  <c r="P29" i="2"/>
  <c r="V29" i="2" s="1"/>
  <c r="I29" i="2"/>
  <c r="X28" i="2"/>
  <c r="T28" i="2"/>
  <c r="S28" i="2"/>
  <c r="R28" i="2"/>
  <c r="Q28" i="2"/>
  <c r="P28" i="2"/>
  <c r="I28" i="2"/>
  <c r="X27" i="2"/>
  <c r="T27" i="2"/>
  <c r="H138" i="7" s="1"/>
  <c r="G138" i="7" s="1"/>
  <c r="S27" i="2"/>
  <c r="H106" i="7" s="1"/>
  <c r="G106" i="7" s="1"/>
  <c r="R27" i="2"/>
  <c r="Q27" i="2"/>
  <c r="P27" i="2"/>
  <c r="I27" i="2"/>
  <c r="X26" i="2"/>
  <c r="T26" i="2"/>
  <c r="S26" i="2"/>
  <c r="R26" i="2"/>
  <c r="Q26" i="2"/>
  <c r="P26" i="2"/>
  <c r="I26" i="2"/>
  <c r="X25" i="2"/>
  <c r="T25" i="2"/>
  <c r="S25" i="2"/>
  <c r="R25" i="2"/>
  <c r="Q25" i="2"/>
  <c r="P25" i="2"/>
  <c r="I25" i="2"/>
  <c r="X24" i="2"/>
  <c r="T24" i="2"/>
  <c r="S24" i="2"/>
  <c r="R24" i="2"/>
  <c r="Q24" i="2"/>
  <c r="P24" i="2"/>
  <c r="I24" i="2"/>
  <c r="X23" i="2"/>
  <c r="T23" i="2"/>
  <c r="S23" i="2"/>
  <c r="R23" i="2"/>
  <c r="Q23" i="2"/>
  <c r="P23" i="2"/>
  <c r="I23" i="2"/>
  <c r="X22" i="2"/>
  <c r="T22" i="2"/>
  <c r="H134" i="7" s="1"/>
  <c r="G134" i="7" s="1"/>
  <c r="S22" i="2"/>
  <c r="H102" i="7" s="1"/>
  <c r="G102" i="7" s="1"/>
  <c r="R22" i="2"/>
  <c r="Q22" i="2"/>
  <c r="P22" i="2"/>
  <c r="I22" i="2"/>
  <c r="X21" i="2"/>
  <c r="T21" i="2"/>
  <c r="S21" i="2"/>
  <c r="R21" i="2"/>
  <c r="Q21" i="2"/>
  <c r="P21" i="2"/>
  <c r="I21" i="2"/>
  <c r="X20" i="2"/>
  <c r="T20" i="2"/>
  <c r="S20" i="2"/>
  <c r="R20" i="2"/>
  <c r="Q20" i="2"/>
  <c r="P20" i="2"/>
  <c r="I20" i="2"/>
  <c r="X19" i="2"/>
  <c r="T19" i="2"/>
  <c r="S19" i="2"/>
  <c r="R19" i="2"/>
  <c r="Q19" i="2"/>
  <c r="P19" i="2"/>
  <c r="I19" i="2"/>
  <c r="X18" i="2"/>
  <c r="T18" i="2"/>
  <c r="S18" i="2"/>
  <c r="R18" i="2"/>
  <c r="Q18" i="2"/>
  <c r="P18" i="2"/>
  <c r="I18" i="2"/>
  <c r="X17" i="2"/>
  <c r="T17" i="2"/>
  <c r="H133" i="7" s="1"/>
  <c r="G133" i="7" s="1"/>
  <c r="S17" i="2"/>
  <c r="R17" i="2"/>
  <c r="Q17" i="2"/>
  <c r="P17" i="2"/>
  <c r="H5" i="7" s="1"/>
  <c r="G5" i="7" s="1"/>
  <c r="I17" i="2"/>
  <c r="X16" i="2"/>
  <c r="T16" i="2"/>
  <c r="S16" i="2"/>
  <c r="R16" i="2"/>
  <c r="Q16" i="2"/>
  <c r="P16" i="2"/>
  <c r="I16" i="2"/>
  <c r="X15" i="2"/>
  <c r="T15" i="2"/>
  <c r="S15" i="2"/>
  <c r="R15" i="2"/>
  <c r="Q15" i="2"/>
  <c r="P15" i="2"/>
  <c r="I15" i="2"/>
  <c r="X14" i="2"/>
  <c r="T14" i="2"/>
  <c r="S14" i="2"/>
  <c r="R14" i="2"/>
  <c r="Q14" i="2"/>
  <c r="P14" i="2"/>
  <c r="I14" i="2"/>
  <c r="X13" i="2"/>
  <c r="T13" i="2"/>
  <c r="S13" i="2"/>
  <c r="R13" i="2"/>
  <c r="Q13" i="2"/>
  <c r="P13" i="2"/>
  <c r="V13" i="2" s="1"/>
  <c r="I13" i="2"/>
  <c r="X12" i="2"/>
  <c r="T12" i="2"/>
  <c r="S12" i="2"/>
  <c r="H100" i="7" s="1"/>
  <c r="G100" i="7" s="1"/>
  <c r="R12" i="2"/>
  <c r="Q12" i="2"/>
  <c r="P12" i="2"/>
  <c r="I12" i="2"/>
  <c r="X11" i="2"/>
  <c r="T11" i="2"/>
  <c r="S11" i="2"/>
  <c r="R11" i="2"/>
  <c r="Q11" i="2"/>
  <c r="P11" i="2"/>
  <c r="I11" i="2"/>
  <c r="X10" i="2"/>
  <c r="T10" i="2"/>
  <c r="S10" i="2"/>
  <c r="R10" i="2"/>
  <c r="Q10" i="2"/>
  <c r="P10" i="2"/>
  <c r="I10" i="2"/>
  <c r="X9" i="2"/>
  <c r="T9" i="2"/>
  <c r="S9" i="2"/>
  <c r="R9" i="2"/>
  <c r="Q9" i="2"/>
  <c r="P9" i="2"/>
  <c r="I9" i="2"/>
  <c r="X8" i="2"/>
  <c r="I27" i="3" s="1"/>
  <c r="D41" i="10" s="1"/>
  <c r="T8" i="2"/>
  <c r="S8" i="2"/>
  <c r="R8" i="2"/>
  <c r="V8" i="2" s="1"/>
  <c r="Q8" i="2"/>
  <c r="P8" i="2"/>
  <c r="I8" i="2"/>
  <c r="X7" i="2"/>
  <c r="T7" i="2"/>
  <c r="H131" i="7" s="1"/>
  <c r="G131" i="7" s="1"/>
  <c r="S7" i="2"/>
  <c r="R7" i="2"/>
  <c r="Q7" i="2"/>
  <c r="P7" i="2"/>
  <c r="I7" i="2"/>
  <c r="X6" i="2"/>
  <c r="T6" i="2"/>
  <c r="S6" i="2"/>
  <c r="R6" i="2"/>
  <c r="Q6" i="2"/>
  <c r="P6" i="2"/>
  <c r="I6" i="2"/>
  <c r="X5" i="2"/>
  <c r="T5" i="2"/>
  <c r="S5" i="2"/>
  <c r="R5" i="2"/>
  <c r="Q5" i="2"/>
  <c r="P5" i="2"/>
  <c r="I5" i="2"/>
  <c r="X4" i="2"/>
  <c r="T4" i="2"/>
  <c r="S4" i="2"/>
  <c r="R4" i="2"/>
  <c r="Q4" i="2"/>
  <c r="P4" i="2"/>
  <c r="I4" i="2"/>
  <c r="X3" i="2"/>
  <c r="T3" i="2"/>
  <c r="S3" i="2"/>
  <c r="R3" i="2"/>
  <c r="Q3" i="2"/>
  <c r="P3" i="2"/>
  <c r="I3" i="2"/>
  <c r="X2" i="2"/>
  <c r="T2" i="2"/>
  <c r="S2" i="2"/>
  <c r="R2" i="2"/>
  <c r="Q2" i="2"/>
  <c r="P2" i="2"/>
  <c r="I2" i="2"/>
  <c r="A30" i="10" l="1"/>
  <c r="A22" i="10"/>
  <c r="A38" i="10"/>
  <c r="A16" i="10"/>
  <c r="A32" i="10"/>
  <c r="A17" i="10"/>
  <c r="A18" i="10"/>
  <c r="A34" i="10"/>
  <c r="A19" i="10"/>
  <c r="A35" i="10"/>
  <c r="A20" i="10"/>
  <c r="A36" i="10"/>
  <c r="A21" i="10"/>
  <c r="A37" i="10"/>
  <c r="A40" i="10"/>
  <c r="A25" i="10"/>
  <c r="A41" i="10"/>
  <c r="A26" i="10"/>
  <c r="A42" i="10"/>
  <c r="A27" i="10"/>
  <c r="A43" i="10"/>
  <c r="A28" i="10"/>
  <c r="A44" i="10"/>
  <c r="A29" i="10"/>
  <c r="A45" i="10"/>
  <c r="A24" i="10"/>
  <c r="A46" i="10"/>
  <c r="A31" i="10"/>
  <c r="A47" i="10"/>
  <c r="A33" i="10"/>
  <c r="V54" i="2"/>
  <c r="V38" i="2"/>
  <c r="V79" i="2"/>
  <c r="V100" i="2"/>
  <c r="V11" i="2"/>
  <c r="U10" i="2"/>
  <c r="U18" i="2"/>
  <c r="V68" i="2"/>
  <c r="V139" i="2"/>
  <c r="V25" i="2"/>
  <c r="V23" i="2"/>
  <c r="U3" i="2"/>
  <c r="U53" i="2"/>
  <c r="V71" i="2"/>
  <c r="V80" i="2"/>
  <c r="V105" i="2"/>
  <c r="U112" i="2"/>
  <c r="U44" i="2"/>
  <c r="V78" i="2"/>
  <c r="V87" i="2"/>
  <c r="V103" i="2"/>
  <c r="W103" i="2" s="1"/>
  <c r="U151" i="2"/>
  <c r="W151" i="2" s="1"/>
  <c r="V85" i="2"/>
  <c r="V65" i="2"/>
  <c r="V140" i="2"/>
  <c r="W140" i="2" s="1"/>
  <c r="V144" i="2"/>
  <c r="U149" i="2"/>
  <c r="V156" i="2"/>
  <c r="V47" i="2"/>
  <c r="W47" i="2" s="1"/>
  <c r="H69" i="7"/>
  <c r="G69" i="7" s="1"/>
  <c r="H93" i="7"/>
  <c r="G93" i="7" s="1"/>
  <c r="U20" i="2"/>
  <c r="V120" i="2"/>
  <c r="H86" i="7"/>
  <c r="G86" i="7" s="1"/>
  <c r="H94" i="7"/>
  <c r="G94" i="7" s="1"/>
  <c r="U66" i="2"/>
  <c r="V75" i="2"/>
  <c r="V116" i="2"/>
  <c r="H87" i="7"/>
  <c r="G87" i="7" s="1"/>
  <c r="V146" i="2"/>
  <c r="H95" i="7"/>
  <c r="G95" i="7" s="1"/>
  <c r="V82" i="2"/>
  <c r="V98" i="2"/>
  <c r="U89" i="2"/>
  <c r="U153" i="2"/>
  <c r="U75" i="2"/>
  <c r="H35" i="7"/>
  <c r="G35" i="7" s="1"/>
  <c r="U49" i="2"/>
  <c r="W49" i="2" s="1"/>
  <c r="U116" i="2"/>
  <c r="V123" i="2"/>
  <c r="U25" i="2"/>
  <c r="U105" i="2"/>
  <c r="H36" i="7"/>
  <c r="G36" i="7" s="1"/>
  <c r="U30" i="2"/>
  <c r="W30" i="2" s="1"/>
  <c r="V61" i="2"/>
  <c r="U126" i="2"/>
  <c r="H52" i="7"/>
  <c r="G52" i="7" s="1"/>
  <c r="V133" i="2"/>
  <c r="V84" i="2"/>
  <c r="V131" i="2"/>
  <c r="V149" i="2"/>
  <c r="V51" i="2"/>
  <c r="U136" i="2"/>
  <c r="U8" i="2"/>
  <c r="W8" i="2" s="1"/>
  <c r="V28" i="2"/>
  <c r="U54" i="2"/>
  <c r="W54" i="2" s="1"/>
  <c r="V115" i="2"/>
  <c r="H56" i="7"/>
  <c r="G56" i="7" s="1"/>
  <c r="H34" i="7"/>
  <c r="G34" i="7" s="1"/>
  <c r="H64" i="7"/>
  <c r="G64" i="7" s="1"/>
  <c r="H63" i="7"/>
  <c r="G63" i="7" s="1"/>
  <c r="H53" i="7"/>
  <c r="G53" i="7" s="1"/>
  <c r="V2" i="2"/>
  <c r="U102" i="2"/>
  <c r="U133" i="2"/>
  <c r="W68" i="2"/>
  <c r="V86" i="2"/>
  <c r="W131" i="2"/>
  <c r="V41" i="2"/>
  <c r="U110" i="2"/>
  <c r="W110" i="2" s="1"/>
  <c r="V158" i="2"/>
  <c r="W158" i="2" s="1"/>
  <c r="V15" i="2"/>
  <c r="V130" i="2"/>
  <c r="V134" i="2"/>
  <c r="V112" i="2"/>
  <c r="V46" i="2"/>
  <c r="V154" i="2"/>
  <c r="U13" i="2"/>
  <c r="W13" i="2" s="1"/>
  <c r="U35" i="2"/>
  <c r="V102" i="2"/>
  <c r="V63" i="2"/>
  <c r="V89" i="2"/>
  <c r="W89" i="2" s="1"/>
  <c r="V113" i="2"/>
  <c r="U139" i="2"/>
  <c r="W139" i="2" s="1"/>
  <c r="V5" i="2"/>
  <c r="V20" i="2"/>
  <c r="W20" i="2" s="1"/>
  <c r="V44" i="2"/>
  <c r="V59" i="2"/>
  <c r="H8" i="7"/>
  <c r="G8" i="7" s="1"/>
  <c r="V126" i="2"/>
  <c r="H3" i="7"/>
  <c r="G3" i="7" s="1"/>
  <c r="V39" i="2"/>
  <c r="V121" i="2"/>
  <c r="U38" i="2"/>
  <c r="W38" i="2" s="1"/>
  <c r="U55" i="2"/>
  <c r="U41" i="2"/>
  <c r="V104" i="2"/>
  <c r="U91" i="2"/>
  <c r="U61" i="2"/>
  <c r="V70" i="2"/>
  <c r="V135" i="2"/>
  <c r="H6" i="7"/>
  <c r="G6" i="7" s="1"/>
  <c r="V108" i="2"/>
  <c r="V26" i="2"/>
  <c r="U56" i="2"/>
  <c r="W56" i="2" s="1"/>
  <c r="V128" i="2"/>
  <c r="V22" i="2"/>
  <c r="V111" i="2"/>
  <c r="V3" i="2"/>
  <c r="U79" i="2"/>
  <c r="W79" i="2" s="1"/>
  <c r="V153" i="2"/>
  <c r="U152" i="2"/>
  <c r="H32" i="7"/>
  <c r="G32" i="7" s="1"/>
  <c r="V152" i="2"/>
  <c r="U74" i="2"/>
  <c r="V74" i="2"/>
  <c r="W74" i="2" s="1"/>
  <c r="H22" i="7"/>
  <c r="G22" i="7" s="1"/>
  <c r="U135" i="2"/>
  <c r="U5" i="2"/>
  <c r="H67" i="7"/>
  <c r="G67" i="7" s="1"/>
  <c r="V9" i="2"/>
  <c r="U9" i="2"/>
  <c r="H37" i="7"/>
  <c r="G37" i="7" s="1"/>
  <c r="H140" i="7"/>
  <c r="G140" i="7" s="1"/>
  <c r="U51" i="2"/>
  <c r="V76" i="2"/>
  <c r="U76" i="2"/>
  <c r="U121" i="2"/>
  <c r="U123" i="2"/>
  <c r="H127" i="7"/>
  <c r="G127" i="7" s="1"/>
  <c r="V161" i="2"/>
  <c r="U161" i="2"/>
  <c r="U88" i="2"/>
  <c r="V88" i="2"/>
  <c r="H74" i="7"/>
  <c r="G74" i="7" s="1"/>
  <c r="U27" i="2"/>
  <c r="V31" i="2"/>
  <c r="U31" i="2"/>
  <c r="H20" i="7"/>
  <c r="G20" i="7" s="1"/>
  <c r="V62" i="2"/>
  <c r="U62" i="2"/>
  <c r="U64" i="2"/>
  <c r="V64" i="2"/>
  <c r="L32" i="3"/>
  <c r="V7" i="2"/>
  <c r="U15" i="2"/>
  <c r="U29" i="2"/>
  <c r="W29" i="2" s="1"/>
  <c r="U50" i="2"/>
  <c r="V50" i="2"/>
  <c r="W50" i="2" s="1"/>
  <c r="V60" i="2"/>
  <c r="U60" i="2"/>
  <c r="U72" i="2"/>
  <c r="H65" i="7"/>
  <c r="G65" i="7" s="1"/>
  <c r="V157" i="2"/>
  <c r="U157" i="2"/>
  <c r="V159" i="2"/>
  <c r="U159" i="2"/>
  <c r="J16" i="3"/>
  <c r="N19" i="3"/>
  <c r="H2" i="7"/>
  <c r="G2" i="7" s="1"/>
  <c r="J10" i="3"/>
  <c r="N17" i="3"/>
  <c r="J3" i="3"/>
  <c r="P33" i="3"/>
  <c r="I10" i="3"/>
  <c r="D24" i="10" s="1"/>
  <c r="L17" i="3"/>
  <c r="I11" i="3"/>
  <c r="D25" i="10" s="1"/>
  <c r="L2" i="3"/>
  <c r="M21" i="3"/>
  <c r="L27" i="3"/>
  <c r="N12" i="3"/>
  <c r="K2" i="3"/>
  <c r="I20" i="3"/>
  <c r="D34" i="10" s="1"/>
  <c r="P19" i="3"/>
  <c r="M29" i="3"/>
  <c r="I3" i="3"/>
  <c r="D17" i="10" s="1"/>
  <c r="N21" i="3"/>
  <c r="K27" i="3"/>
  <c r="P6" i="3"/>
  <c r="J27" i="3"/>
  <c r="J29" i="3"/>
  <c r="L13" i="3"/>
  <c r="P24" i="3"/>
  <c r="I21" i="3"/>
  <c r="D35" i="10" s="1"/>
  <c r="L33" i="3"/>
  <c r="L16" i="3"/>
  <c r="N28" i="3"/>
  <c r="P25" i="3"/>
  <c r="N9" i="3"/>
  <c r="V17" i="2"/>
  <c r="V27" i="2"/>
  <c r="U34" i="2"/>
  <c r="H77" i="7"/>
  <c r="G77" i="7" s="1"/>
  <c r="V72" i="2"/>
  <c r="H104" i="7"/>
  <c r="G104" i="7" s="1"/>
  <c r="V107" i="2"/>
  <c r="U120" i="2"/>
  <c r="K16" i="3"/>
  <c r="U46" i="2"/>
  <c r="H80" i="7"/>
  <c r="G80" i="7" s="1"/>
  <c r="N15" i="3"/>
  <c r="I2" i="3"/>
  <c r="D16" i="10" s="1"/>
  <c r="N33" i="3"/>
  <c r="V97" i="2"/>
  <c r="U97" i="2"/>
  <c r="H30" i="7"/>
  <c r="G30" i="7" s="1"/>
  <c r="J17" i="3"/>
  <c r="V33" i="2"/>
  <c r="U33" i="2"/>
  <c r="U150" i="2"/>
  <c r="V150" i="2"/>
  <c r="W150" i="2" s="1"/>
  <c r="U39" i="2"/>
  <c r="U21" i="2"/>
  <c r="V21" i="2"/>
  <c r="W21" i="2" s="1"/>
  <c r="V99" i="2"/>
  <c r="U99" i="2"/>
  <c r="U84" i="2"/>
  <c r="V109" i="2"/>
  <c r="U109" i="2"/>
  <c r="H143" i="7"/>
  <c r="G143" i="7" s="1"/>
  <c r="U144" i="2"/>
  <c r="V148" i="2"/>
  <c r="V132" i="2"/>
  <c r="H23" i="7"/>
  <c r="G23" i="7" s="1"/>
  <c r="U132" i="2"/>
  <c r="H66" i="7"/>
  <c r="G66" i="7" s="1"/>
  <c r="V4" i="2"/>
  <c r="U4" i="2"/>
  <c r="H4" i="7"/>
  <c r="G4" i="7" s="1"/>
  <c r="V12" i="2"/>
  <c r="V36" i="2"/>
  <c r="U36" i="2"/>
  <c r="U95" i="2"/>
  <c r="V95" i="2"/>
  <c r="W95" i="2" s="1"/>
  <c r="U107" i="2"/>
  <c r="U128" i="2"/>
  <c r="V143" i="2"/>
  <c r="U143" i="2"/>
  <c r="V14" i="2"/>
  <c r="U14" i="2"/>
  <c r="V16" i="2"/>
  <c r="U16" i="2"/>
  <c r="J8" i="3"/>
  <c r="P15" i="3"/>
  <c r="H19" i="7"/>
  <c r="G19" i="7" s="1"/>
  <c r="U57" i="2"/>
  <c r="V57" i="2"/>
  <c r="U7" i="2"/>
  <c r="K17" i="3"/>
  <c r="P32" i="3"/>
  <c r="H110" i="7"/>
  <c r="G110" i="7" s="1"/>
  <c r="U81" i="2"/>
  <c r="V81" i="2"/>
  <c r="V83" i="2"/>
  <c r="U83" i="2"/>
  <c r="J2" i="3"/>
  <c r="U24" i="2"/>
  <c r="V24" i="2"/>
  <c r="H92" i="7"/>
  <c r="G92" i="7" s="1"/>
  <c r="U93" i="2"/>
  <c r="V118" i="2"/>
  <c r="U118" i="2"/>
  <c r="H130" i="7"/>
  <c r="G130" i="7" s="1"/>
  <c r="H75" i="7"/>
  <c r="G75" i="7" s="1"/>
  <c r="U32" i="2"/>
  <c r="H21" i="7"/>
  <c r="G21" i="7" s="1"/>
  <c r="U67" i="2"/>
  <c r="V67" i="2"/>
  <c r="W67" i="2" s="1"/>
  <c r="V69" i="2"/>
  <c r="U69" i="2"/>
  <c r="V93" i="2"/>
  <c r="H39" i="7"/>
  <c r="G39" i="7" s="1"/>
  <c r="U155" i="2"/>
  <c r="L8" i="3"/>
  <c r="K21" i="3"/>
  <c r="N6" i="3"/>
  <c r="P13" i="3"/>
  <c r="V48" i="2"/>
  <c r="U48" i="2"/>
  <c r="K14" i="3"/>
  <c r="U17" i="2"/>
  <c r="U2" i="2"/>
  <c r="V10" i="2"/>
  <c r="H70" i="7"/>
  <c r="G70" i="7" s="1"/>
  <c r="U22" i="2"/>
  <c r="V34" i="2"/>
  <c r="V43" i="2"/>
  <c r="U43" i="2"/>
  <c r="V45" i="2"/>
  <c r="U45" i="2"/>
  <c r="H122" i="7"/>
  <c r="G122" i="7" s="1"/>
  <c r="V77" i="2"/>
  <c r="W77" i="2" s="1"/>
  <c r="U100" i="2"/>
  <c r="W100" i="2" s="1"/>
  <c r="H71" i="7"/>
  <c r="G71" i="7" s="1"/>
  <c r="M8" i="3"/>
  <c r="L28" i="3"/>
  <c r="L21" i="3"/>
  <c r="I29" i="3"/>
  <c r="D43" i="10" s="1"/>
  <c r="H132" i="7"/>
  <c r="G132" i="7" s="1"/>
  <c r="U106" i="2"/>
  <c r="V106" i="2"/>
  <c r="U125" i="2"/>
  <c r="V125" i="2"/>
  <c r="H16" i="7"/>
  <c r="G16" i="7" s="1"/>
  <c r="U127" i="2"/>
  <c r="V127" i="2"/>
  <c r="H17" i="7"/>
  <c r="G17" i="7" s="1"/>
  <c r="V141" i="2"/>
  <c r="U141" i="2"/>
  <c r="M28" i="3"/>
  <c r="J13" i="3"/>
  <c r="L12" i="3"/>
  <c r="I23" i="3"/>
  <c r="D37" i="10" s="1"/>
  <c r="U148" i="2"/>
  <c r="H45" i="7"/>
  <c r="G45" i="7" s="1"/>
  <c r="V53" i="2"/>
  <c r="I26" i="3"/>
  <c r="D40" i="10" s="1"/>
  <c r="U12" i="2"/>
  <c r="H50" i="7"/>
  <c r="G50" i="7" s="1"/>
  <c r="H117" i="7"/>
  <c r="G117" i="7" s="1"/>
  <c r="U77" i="2"/>
  <c r="H29" i="7"/>
  <c r="G29" i="7" s="1"/>
  <c r="U92" i="2"/>
  <c r="V92" i="2"/>
  <c r="W92" i="2" s="1"/>
  <c r="H49" i="7"/>
  <c r="G49" i="7" s="1"/>
  <c r="H88" i="7"/>
  <c r="G88" i="7" s="1"/>
  <c r="P8" i="3"/>
  <c r="P28" i="3"/>
  <c r="K13" i="3"/>
  <c r="H98" i="7"/>
  <c r="G98" i="7" s="1"/>
  <c r="H99" i="7"/>
  <c r="G99" i="7" s="1"/>
  <c r="H68" i="7"/>
  <c r="G68" i="7" s="1"/>
  <c r="H101" i="7"/>
  <c r="G101" i="7" s="1"/>
  <c r="V19" i="2"/>
  <c r="U19" i="2"/>
  <c r="V55" i="2"/>
  <c r="H85" i="7"/>
  <c r="G85" i="7" s="1"/>
  <c r="H62" i="7"/>
  <c r="G62" i="7" s="1"/>
  <c r="H135" i="7"/>
  <c r="G135" i="7" s="1"/>
  <c r="U104" i="2"/>
  <c r="U111" i="2"/>
  <c r="U134" i="2"/>
  <c r="H152" i="7"/>
  <c r="G152" i="7" s="1"/>
  <c r="N8" i="3"/>
  <c r="I17" i="3"/>
  <c r="D31" i="10" s="1"/>
  <c r="M6" i="3"/>
  <c r="J32" i="3"/>
  <c r="J21" i="3"/>
  <c r="M13" i="3"/>
  <c r="M33" i="3"/>
  <c r="H96" i="7"/>
  <c r="G96" i="7" s="1"/>
  <c r="K3" i="3"/>
  <c r="M2" i="3"/>
  <c r="P21" i="3"/>
  <c r="J11" i="3"/>
  <c r="K10" i="3"/>
  <c r="P12" i="3"/>
  <c r="M27" i="3"/>
  <c r="V147" i="2"/>
  <c r="U147" i="2"/>
  <c r="H160" i="7"/>
  <c r="G160" i="7" s="1"/>
  <c r="V35" i="2"/>
  <c r="H82" i="7"/>
  <c r="G82" i="7" s="1"/>
  <c r="H147" i="7"/>
  <c r="G147" i="7" s="1"/>
  <c r="V73" i="2"/>
  <c r="H60" i="7"/>
  <c r="G60" i="7" s="1"/>
  <c r="H157" i="7"/>
  <c r="G157" i="7" s="1"/>
  <c r="V124" i="2"/>
  <c r="U124" i="2"/>
  <c r="L3" i="3"/>
  <c r="N2" i="3"/>
  <c r="L22" i="3"/>
  <c r="P20" i="3"/>
  <c r="L11" i="3"/>
  <c r="M18" i="3"/>
  <c r="N10" i="3"/>
  <c r="H14" i="7"/>
  <c r="G14" i="7" s="1"/>
  <c r="H81" i="7"/>
  <c r="G81" i="7" s="1"/>
  <c r="H128" i="7"/>
  <c r="G128" i="7" s="1"/>
  <c r="L31" i="3"/>
  <c r="I33" i="3"/>
  <c r="D47" i="10" s="1"/>
  <c r="P7" i="3"/>
  <c r="M12" i="3"/>
  <c r="J9" i="3"/>
  <c r="N13" i="3"/>
  <c r="K11" i="3"/>
  <c r="L30" i="3"/>
  <c r="I32" i="3"/>
  <c r="D46" i="10" s="1"/>
  <c r="P2" i="3"/>
  <c r="M4" i="3"/>
  <c r="J6" i="3"/>
  <c r="N5" i="3"/>
  <c r="K8" i="3"/>
  <c r="L19" i="3"/>
  <c r="I25" i="3"/>
  <c r="D39" i="10" s="1"/>
  <c r="N31" i="3"/>
  <c r="J33" i="3"/>
  <c r="N7" i="3"/>
  <c r="J12" i="3"/>
  <c r="P14" i="3"/>
  <c r="L18" i="3"/>
  <c r="N20" i="3"/>
  <c r="J24" i="3"/>
  <c r="K22" i="3"/>
  <c r="P4" i="3"/>
  <c r="L6" i="3"/>
  <c r="M5" i="3"/>
  <c r="I8" i="3"/>
  <c r="D22" i="10" s="1"/>
  <c r="K19" i="3"/>
  <c r="M31" i="3"/>
  <c r="M7" i="3"/>
  <c r="I12" i="3"/>
  <c r="D26" i="10" s="1"/>
  <c r="K18" i="3"/>
  <c r="P16" i="3"/>
  <c r="M20" i="3"/>
  <c r="I24" i="3"/>
  <c r="D38" i="10" s="1"/>
  <c r="N32" i="3"/>
  <c r="J22" i="3"/>
  <c r="K6" i="3"/>
  <c r="P17" i="3"/>
  <c r="L5" i="3"/>
  <c r="N14" i="3"/>
  <c r="M32" i="3"/>
  <c r="I6" i="3"/>
  <c r="D20" i="10" s="1"/>
  <c r="K5" i="3"/>
  <c r="J19" i="3"/>
  <c r="P23" i="3"/>
  <c r="K31" i="3"/>
  <c r="P29" i="3"/>
  <c r="L7" i="3"/>
  <c r="J18" i="3"/>
  <c r="L20" i="3"/>
  <c r="I22" i="3"/>
  <c r="D36" i="10" s="1"/>
  <c r="N4" i="3"/>
  <c r="I19" i="3"/>
  <c r="D33" i="10" s="1"/>
  <c r="N23" i="3"/>
  <c r="J31" i="3"/>
  <c r="K7" i="3"/>
  <c r="P10" i="3"/>
  <c r="M14" i="3"/>
  <c r="I18" i="3"/>
  <c r="D32" i="10" s="1"/>
  <c r="N16" i="3"/>
  <c r="K20" i="3"/>
  <c r="P30" i="3"/>
  <c r="M23" i="3"/>
  <c r="I31" i="3"/>
  <c r="D45" i="10" s="1"/>
  <c r="N29" i="3"/>
  <c r="J7" i="3"/>
  <c r="L14" i="3"/>
  <c r="M16" i="3"/>
  <c r="J20" i="3"/>
  <c r="K32" i="3"/>
  <c r="K4" i="3"/>
  <c r="M17" i="3"/>
  <c r="I5" i="3"/>
  <c r="D19" i="10" s="1"/>
  <c r="P27" i="3"/>
  <c r="L23" i="3"/>
  <c r="K23" i="3"/>
  <c r="P26" i="3"/>
  <c r="L29" i="3"/>
  <c r="M10" i="3"/>
  <c r="J14" i="3"/>
  <c r="N27" i="3"/>
  <c r="J23" i="3"/>
  <c r="K29" i="3"/>
  <c r="P9" i="3"/>
  <c r="L10" i="3"/>
  <c r="I14" i="3"/>
  <c r="D28" i="10" s="1"/>
  <c r="N11" i="3"/>
  <c r="M19" i="3"/>
  <c r="J25" i="3"/>
  <c r="K33" i="3"/>
  <c r="K12" i="3"/>
  <c r="H54" i="7"/>
  <c r="G54" i="7" s="1"/>
  <c r="U113" i="2"/>
  <c r="M3" i="3"/>
  <c r="J26" i="3"/>
  <c r="H78" i="7"/>
  <c r="G78" i="7" s="1"/>
  <c r="U71" i="2"/>
  <c r="U78" i="2"/>
  <c r="H27" i="7"/>
  <c r="G27" i="7" s="1"/>
  <c r="U82" i="2"/>
  <c r="U85" i="2"/>
  <c r="H124" i="7"/>
  <c r="G124" i="7" s="1"/>
  <c r="V96" i="2"/>
  <c r="U96" i="2"/>
  <c r="U115" i="2"/>
  <c r="H47" i="7"/>
  <c r="G47" i="7" s="1"/>
  <c r="H144" i="7"/>
  <c r="G144" i="7" s="1"/>
  <c r="V129" i="2"/>
  <c r="W129" i="2" s="1"/>
  <c r="V136" i="2"/>
  <c r="V138" i="2"/>
  <c r="W138" i="2" s="1"/>
  <c r="V142" i="2"/>
  <c r="U142" i="2"/>
  <c r="V145" i="2"/>
  <c r="W145" i="2" s="1"/>
  <c r="J5" i="3"/>
  <c r="I15" i="3"/>
  <c r="D29" i="10" s="1"/>
  <c r="N3" i="3"/>
  <c r="N22" i="3"/>
  <c r="I30" i="3"/>
  <c r="D44" i="10" s="1"/>
  <c r="K26" i="3"/>
  <c r="P31" i="3"/>
  <c r="K25" i="3"/>
  <c r="H31" i="7"/>
  <c r="G31" i="7" s="1"/>
  <c r="H158" i="7"/>
  <c r="G158" i="7" s="1"/>
  <c r="H18" i="7"/>
  <c r="G18" i="7" s="1"/>
  <c r="V6" i="2"/>
  <c r="U6" i="2"/>
  <c r="H112" i="7"/>
  <c r="G112" i="7" s="1"/>
  <c r="M22" i="3"/>
  <c r="M11" i="3"/>
  <c r="U11" i="2"/>
  <c r="W11" i="2" s="1"/>
  <c r="U28" i="2"/>
  <c r="V37" i="2"/>
  <c r="U37" i="2"/>
  <c r="H12" i="7"/>
  <c r="G12" i="7" s="1"/>
  <c r="V40" i="2"/>
  <c r="W40" i="2" s="1"/>
  <c r="U52" i="2"/>
  <c r="U59" i="2"/>
  <c r="U63" i="2"/>
  <c r="H59" i="7"/>
  <c r="G59" i="7" s="1"/>
  <c r="H156" i="7"/>
  <c r="G156" i="7" s="1"/>
  <c r="U98" i="2"/>
  <c r="U108" i="2"/>
  <c r="H9" i="7"/>
  <c r="G9" i="7" s="1"/>
  <c r="H79" i="7"/>
  <c r="G79" i="7" s="1"/>
  <c r="V119" i="2"/>
  <c r="U119" i="2"/>
  <c r="H57" i="7"/>
  <c r="G57" i="7" s="1"/>
  <c r="U156" i="2"/>
  <c r="W156" i="2" s="1"/>
  <c r="J15" i="3"/>
  <c r="I4" i="3"/>
  <c r="D18" i="10" s="1"/>
  <c r="J30" i="3"/>
  <c r="P11" i="3"/>
  <c r="P18" i="3"/>
  <c r="I9" i="3"/>
  <c r="D23" i="10" s="1"/>
  <c r="L26" i="3"/>
  <c r="L25" i="3"/>
  <c r="H28" i="7"/>
  <c r="G28" i="7" s="1"/>
  <c r="H148" i="7"/>
  <c r="G148" i="7" s="1"/>
  <c r="H113" i="7"/>
  <c r="G113" i="7" s="1"/>
  <c r="V101" i="2"/>
  <c r="U101" i="2"/>
  <c r="U42" i="2"/>
  <c r="H13" i="7"/>
  <c r="G13" i="7" s="1"/>
  <c r="V42" i="2"/>
  <c r="H15" i="7"/>
  <c r="G15" i="7" s="1"/>
  <c r="V117" i="2"/>
  <c r="N18" i="3"/>
  <c r="U23" i="2"/>
  <c r="W23" i="2" s="1"/>
  <c r="H44" i="7"/>
  <c r="G44" i="7" s="1"/>
  <c r="H109" i="7"/>
  <c r="G109" i="7" s="1"/>
  <c r="H142" i="7"/>
  <c r="G142" i="7" s="1"/>
  <c r="V52" i="2"/>
  <c r="V66" i="2"/>
  <c r="U70" i="2"/>
  <c r="H26" i="7"/>
  <c r="G26" i="7" s="1"/>
  <c r="U80" i="2"/>
  <c r="H91" i="7"/>
  <c r="G91" i="7" s="1"/>
  <c r="U87" i="2"/>
  <c r="V91" i="2"/>
  <c r="U94" i="2"/>
  <c r="W94" i="2" s="1"/>
  <c r="H41" i="7"/>
  <c r="G41" i="7" s="1"/>
  <c r="H89" i="7"/>
  <c r="G89" i="7" s="1"/>
  <c r="V160" i="2"/>
  <c r="U160" i="2"/>
  <c r="P5" i="3"/>
  <c r="K15" i="3"/>
  <c r="P3" i="3"/>
  <c r="J4" i="3"/>
  <c r="I28" i="3"/>
  <c r="D42" i="10" s="1"/>
  <c r="P22" i="3"/>
  <c r="K30" i="3"/>
  <c r="K24" i="3"/>
  <c r="K9" i="3"/>
  <c r="M26" i="3"/>
  <c r="M25" i="3"/>
  <c r="H11" i="7"/>
  <c r="G11" i="7" s="1"/>
  <c r="V32" i="2"/>
  <c r="H76" i="7"/>
  <c r="G76" i="7" s="1"/>
  <c r="H123" i="7"/>
  <c r="G123" i="7" s="1"/>
  <c r="H73" i="7"/>
  <c r="G73" i="7" s="1"/>
  <c r="U146" i="2"/>
  <c r="L15" i="3"/>
  <c r="L4" i="3"/>
  <c r="J28" i="3"/>
  <c r="M30" i="3"/>
  <c r="L24" i="3"/>
  <c r="L9" i="3"/>
  <c r="I7" i="3"/>
  <c r="D21" i="10" s="1"/>
  <c r="N26" i="3"/>
  <c r="N25" i="3"/>
  <c r="H25" i="7"/>
  <c r="G25" i="7" s="1"/>
  <c r="H151" i="7"/>
  <c r="G151" i="7" s="1"/>
  <c r="U122" i="2"/>
  <c r="V122" i="2"/>
  <c r="W122" i="2" s="1"/>
  <c r="H145" i="7"/>
  <c r="G145" i="7" s="1"/>
  <c r="H10" i="7"/>
  <c r="G10" i="7" s="1"/>
  <c r="H141" i="7"/>
  <c r="G141" i="7" s="1"/>
  <c r="H84" i="7"/>
  <c r="G84" i="7" s="1"/>
  <c r="U73" i="2"/>
  <c r="H40" i="7"/>
  <c r="G40" i="7" s="1"/>
  <c r="V18" i="2"/>
  <c r="H38" i="7"/>
  <c r="G38" i="7" s="1"/>
  <c r="H43" i="7"/>
  <c r="G43" i="7" s="1"/>
  <c r="H108" i="7"/>
  <c r="G108" i="7" s="1"/>
  <c r="U58" i="2"/>
  <c r="V58" i="2"/>
  <c r="U65" i="2"/>
  <c r="H90" i="7"/>
  <c r="G90" i="7" s="1"/>
  <c r="H155" i="7"/>
  <c r="G155" i="7" s="1"/>
  <c r="U86" i="2"/>
  <c r="H7" i="7"/>
  <c r="G7" i="7" s="1"/>
  <c r="H72" i="7"/>
  <c r="G72" i="7" s="1"/>
  <c r="H105" i="7"/>
  <c r="G105" i="7" s="1"/>
  <c r="U114" i="2"/>
  <c r="V114" i="2"/>
  <c r="W114" i="2" s="1"/>
  <c r="U117" i="2"/>
  <c r="U130" i="2"/>
  <c r="H24" i="7"/>
  <c r="G24" i="7" s="1"/>
  <c r="V137" i="2"/>
  <c r="U137" i="2"/>
  <c r="H153" i="7"/>
  <c r="G153" i="7" s="1"/>
  <c r="V155" i="2"/>
  <c r="M15" i="3"/>
  <c r="K28" i="3"/>
  <c r="N30" i="3"/>
  <c r="M24" i="3"/>
  <c r="I16" i="3"/>
  <c r="D30" i="10" s="1"/>
  <c r="I13" i="3"/>
  <c r="D27" i="10" s="1"/>
  <c r="M9" i="3"/>
  <c r="H107" i="7"/>
  <c r="G107" i="7" s="1"/>
  <c r="H121" i="7"/>
  <c r="G121" i="7" s="1"/>
  <c r="H33" i="7"/>
  <c r="G33" i="7" s="1"/>
  <c r="H97" i="7"/>
  <c r="G97" i="7" s="1"/>
  <c r="U26" i="2"/>
  <c r="H83" i="7"/>
  <c r="G83" i="7" s="1"/>
  <c r="U90" i="2"/>
  <c r="W90" i="2" s="1"/>
  <c r="U154" i="2"/>
  <c r="H129" i="7"/>
  <c r="G129" i="7" s="1"/>
  <c r="H115" i="7"/>
  <c r="G115" i="7" s="1"/>
  <c r="H116" i="7"/>
  <c r="G116" i="7" s="1"/>
  <c r="H161" i="7"/>
  <c r="G161" i="7" s="1"/>
  <c r="D8" i="4" l="1"/>
  <c r="E3" i="5"/>
  <c r="E3" i="4"/>
  <c r="E4" i="4"/>
  <c r="D9" i="4"/>
  <c r="E9" i="4"/>
  <c r="D4" i="5"/>
  <c r="W106" i="2"/>
  <c r="W81" i="2"/>
  <c r="W84" i="2"/>
  <c r="W25" i="2"/>
  <c r="W105" i="2"/>
  <c r="W87" i="2"/>
  <c r="W15" i="2"/>
  <c r="W88" i="2"/>
  <c r="W10" i="2"/>
  <c r="W35" i="2"/>
  <c r="W146" i="2"/>
  <c r="W57" i="2"/>
  <c r="W120" i="2"/>
  <c r="W155" i="2"/>
  <c r="W133" i="2"/>
  <c r="W71" i="2"/>
  <c r="W2" i="2"/>
  <c r="W80" i="2"/>
  <c r="W144" i="2"/>
  <c r="W121" i="2"/>
  <c r="W154" i="2"/>
  <c r="W44" i="2"/>
  <c r="W3" i="2"/>
  <c r="W53" i="2"/>
  <c r="W116" i="2"/>
  <c r="W51" i="2"/>
  <c r="W18" i="2"/>
  <c r="W98" i="2"/>
  <c r="W136" i="2"/>
  <c r="W112" i="2"/>
  <c r="W82" i="2"/>
  <c r="W78" i="2"/>
  <c r="W124" i="2"/>
  <c r="W45" i="2"/>
  <c r="W16" i="2"/>
  <c r="W61" i="2"/>
  <c r="W119" i="2"/>
  <c r="W125" i="2"/>
  <c r="W43" i="2"/>
  <c r="W14" i="2"/>
  <c r="W64" i="2"/>
  <c r="W65" i="2"/>
  <c r="W75" i="2"/>
  <c r="W102" i="2"/>
  <c r="W86" i="2"/>
  <c r="W149" i="2"/>
  <c r="W66" i="2"/>
  <c r="W126" i="2"/>
  <c r="W85" i="2"/>
  <c r="W52" i="2"/>
  <c r="W111" i="2"/>
  <c r="W115" i="2"/>
  <c r="W46" i="2"/>
  <c r="W42" i="2"/>
  <c r="W37" i="2"/>
  <c r="W28" i="2"/>
  <c r="W152" i="2"/>
  <c r="W59" i="2"/>
  <c r="W123" i="2"/>
  <c r="W134" i="2"/>
  <c r="W41" i="2"/>
  <c r="W101" i="2"/>
  <c r="W19" i="2"/>
  <c r="W93" i="2"/>
  <c r="W132" i="2"/>
  <c r="W27" i="2"/>
  <c r="W153" i="2"/>
  <c r="W104" i="2"/>
  <c r="W137" i="2"/>
  <c r="W73" i="2"/>
  <c r="W34" i="2"/>
  <c r="W148" i="2"/>
  <c r="W17" i="2"/>
  <c r="W5" i="2"/>
  <c r="W108" i="2"/>
  <c r="W6" i="2"/>
  <c r="W159" i="2"/>
  <c r="Q2" i="3"/>
  <c r="W96" i="2"/>
  <c r="W48" i="2"/>
  <c r="W12" i="2"/>
  <c r="W60" i="2"/>
  <c r="W113" i="2"/>
  <c r="W141" i="2"/>
  <c r="W107" i="2"/>
  <c r="W63" i="2"/>
  <c r="W69" i="2"/>
  <c r="W143" i="2"/>
  <c r="W32" i="2"/>
  <c r="W117" i="2"/>
  <c r="W161" i="2"/>
  <c r="W97" i="2"/>
  <c r="W62" i="2"/>
  <c r="W109" i="2"/>
  <c r="W157" i="2"/>
  <c r="W22" i="2"/>
  <c r="W36" i="2"/>
  <c r="W26" i="2"/>
  <c r="W91" i="2"/>
  <c r="W58" i="2"/>
  <c r="W127" i="2"/>
  <c r="W24" i="2"/>
  <c r="W72" i="2"/>
  <c r="W135" i="2"/>
  <c r="W39" i="2"/>
  <c r="W147" i="2"/>
  <c r="W160" i="2"/>
  <c r="W99" i="2"/>
  <c r="W55" i="2"/>
  <c r="W7" i="2"/>
  <c r="W70" i="2"/>
  <c r="W142" i="2"/>
  <c r="W83" i="2"/>
  <c r="W76" i="2"/>
  <c r="W31" i="2"/>
  <c r="W9" i="2"/>
  <c r="W128" i="2"/>
  <c r="W130" i="2"/>
  <c r="W118" i="2"/>
  <c r="W33" i="2"/>
  <c r="D3" i="4"/>
  <c r="C4" i="4"/>
  <c r="Q15" i="3"/>
  <c r="Q19" i="3"/>
  <c r="Q11" i="3"/>
  <c r="Q12" i="3"/>
  <c r="D3" i="5"/>
  <c r="Q32" i="3"/>
  <c r="C5" i="5"/>
  <c r="C9" i="4"/>
  <c r="Q21" i="3"/>
  <c r="D5" i="5"/>
  <c r="Q6" i="3"/>
  <c r="D4" i="4"/>
  <c r="E4" i="5"/>
  <c r="Q33" i="3"/>
  <c r="E8" i="4"/>
  <c r="D6" i="4"/>
  <c r="Q22" i="3"/>
  <c r="C8" i="4"/>
  <c r="Q29" i="3"/>
  <c r="Q30" i="3"/>
  <c r="C3" i="5"/>
  <c r="C4" i="5"/>
  <c r="Q20" i="3"/>
  <c r="Q3" i="3"/>
  <c r="E5" i="5"/>
  <c r="F4" i="6"/>
  <c r="D2" i="5"/>
  <c r="E4" i="6"/>
  <c r="D2" i="4"/>
  <c r="C4" i="6"/>
  <c r="B4" i="6"/>
  <c r="Q13" i="3"/>
  <c r="Q31" i="3"/>
  <c r="Q4" i="3"/>
  <c r="W4" i="2"/>
  <c r="Q25" i="3"/>
  <c r="Q28" i="3"/>
  <c r="C7" i="4"/>
  <c r="F3" i="5"/>
  <c r="Q18" i="3"/>
  <c r="E6" i="4"/>
  <c r="Q8" i="3"/>
  <c r="Q27" i="3"/>
  <c r="Q17" i="3"/>
  <c r="Q7" i="3"/>
  <c r="E2" i="4"/>
  <c r="E2" i="5"/>
  <c r="Q23" i="3"/>
  <c r="D7" i="4"/>
  <c r="E7" i="4"/>
  <c r="Q5" i="3"/>
  <c r="Q26" i="3"/>
  <c r="C5" i="4"/>
  <c r="G5" i="4" s="1"/>
  <c r="C3" i="6"/>
  <c r="B3" i="6"/>
  <c r="E3" i="6"/>
  <c r="F3" i="6"/>
  <c r="C2" i="5"/>
  <c r="C2" i="4"/>
  <c r="F2" i="5"/>
  <c r="E5" i="4"/>
  <c r="D5" i="4"/>
  <c r="Q16" i="3"/>
  <c r="Q14" i="3"/>
  <c r="C6" i="4"/>
  <c r="Q10" i="3"/>
  <c r="F4" i="5"/>
  <c r="C3" i="4"/>
  <c r="Q24" i="3"/>
  <c r="Q9" i="3"/>
  <c r="F5" i="5"/>
  <c r="G3" i="4" l="1"/>
  <c r="E18" i="3"/>
  <c r="E3" i="3"/>
  <c r="C17" i="10" s="1"/>
  <c r="E17" i="10" s="1"/>
  <c r="E17" i="3"/>
  <c r="E10" i="3"/>
  <c r="F5" i="3"/>
  <c r="E33" i="3"/>
  <c r="E13" i="3"/>
  <c r="E30" i="3"/>
  <c r="E9" i="3"/>
  <c r="E31" i="3"/>
  <c r="F15" i="3"/>
  <c r="F33" i="3"/>
  <c r="F23" i="3"/>
  <c r="F18" i="3"/>
  <c r="F30" i="3"/>
  <c r="F16" i="3"/>
  <c r="E29" i="3"/>
  <c r="E22" i="3"/>
  <c r="E12" i="3"/>
  <c r="F26" i="3"/>
  <c r="E6" i="3"/>
  <c r="F10" i="3"/>
  <c r="F17" i="3"/>
  <c r="F3" i="3"/>
  <c r="E25" i="3"/>
  <c r="E21" i="3"/>
  <c r="F20" i="3"/>
  <c r="E24" i="3"/>
  <c r="E28" i="3"/>
  <c r="F6" i="3"/>
  <c r="F21" i="3"/>
  <c r="E11" i="3"/>
  <c r="F19" i="3"/>
  <c r="E8" i="3"/>
  <c r="F32" i="3"/>
  <c r="E7" i="3"/>
  <c r="F13" i="3"/>
  <c r="E23" i="3"/>
  <c r="E19" i="3"/>
  <c r="E4" i="3"/>
  <c r="F2" i="3"/>
  <c r="F8" i="3"/>
  <c r="E15" i="3"/>
  <c r="E14" i="3"/>
  <c r="F24" i="3"/>
  <c r="G6" i="4"/>
  <c r="F14" i="3"/>
  <c r="F25" i="3"/>
  <c r="F4" i="3"/>
  <c r="E32" i="3"/>
  <c r="G4" i="4"/>
  <c r="G7" i="4"/>
  <c r="G9" i="4"/>
  <c r="F11" i="3"/>
  <c r="E5" i="3"/>
  <c r="C19" i="10" s="1"/>
  <c r="E19" i="10" s="1"/>
  <c r="F27" i="3"/>
  <c r="G8" i="4"/>
  <c r="E2" i="3"/>
  <c r="C16" i="10" s="1"/>
  <c r="E16" i="10" s="1"/>
  <c r="E16" i="3"/>
  <c r="G2" i="4"/>
  <c r="E20" i="3"/>
  <c r="F28" i="3"/>
  <c r="F12" i="3"/>
  <c r="E27" i="3"/>
  <c r="E26" i="3"/>
  <c r="F9" i="3"/>
  <c r="F22" i="3"/>
  <c r="F29" i="3"/>
  <c r="F7" i="3"/>
  <c r="F31" i="3"/>
  <c r="O9" i="3" l="1"/>
  <c r="C23" i="10"/>
  <c r="E23" i="10" s="1"/>
  <c r="O4" i="3"/>
  <c r="C18" i="10"/>
  <c r="E18" i="10" s="1"/>
  <c r="O30" i="3"/>
  <c r="C44" i="10"/>
  <c r="E44" i="10" s="1"/>
  <c r="O20" i="3"/>
  <c r="C34" i="10"/>
  <c r="E34" i="10" s="1"/>
  <c r="O6" i="3"/>
  <c r="C20" i="10"/>
  <c r="E20" i="10" s="1"/>
  <c r="O13" i="3"/>
  <c r="C27" i="10"/>
  <c r="E27" i="10" s="1"/>
  <c r="O28" i="3"/>
  <c r="C42" i="10"/>
  <c r="E42" i="10" s="1"/>
  <c r="O25" i="3"/>
  <c r="C39" i="10"/>
  <c r="E39" i="10" s="1"/>
  <c r="O19" i="3"/>
  <c r="C33" i="10"/>
  <c r="E33" i="10" s="1"/>
  <c r="O10" i="3"/>
  <c r="C24" i="10"/>
  <c r="E24" i="10" s="1"/>
  <c r="O12" i="3"/>
  <c r="C26" i="10"/>
  <c r="E26" i="10" s="1"/>
  <c r="O17" i="3"/>
  <c r="C31" i="10"/>
  <c r="E31" i="10" s="1"/>
  <c r="O8" i="3"/>
  <c r="C22" i="10"/>
  <c r="E22" i="10" s="1"/>
  <c r="O22" i="3"/>
  <c r="C36" i="10"/>
  <c r="E36" i="10" s="1"/>
  <c r="O24" i="3"/>
  <c r="C38" i="10"/>
  <c r="E38" i="10" s="1"/>
  <c r="O15" i="3"/>
  <c r="C29" i="10"/>
  <c r="E29" i="10" s="1"/>
  <c r="O31" i="3"/>
  <c r="C45" i="10"/>
  <c r="E45" i="10" s="1"/>
  <c r="O33" i="3"/>
  <c r="C47" i="10"/>
  <c r="E47" i="10" s="1"/>
  <c r="O7" i="3"/>
  <c r="C21" i="10"/>
  <c r="E21" i="10" s="1"/>
  <c r="O32" i="3"/>
  <c r="C46" i="10"/>
  <c r="E46" i="10" s="1"/>
  <c r="O26" i="3"/>
  <c r="C40" i="10"/>
  <c r="E40" i="10" s="1"/>
  <c r="O29" i="3"/>
  <c r="C43" i="10"/>
  <c r="E43" i="10" s="1"/>
  <c r="O18" i="3"/>
  <c r="C32" i="10"/>
  <c r="E32" i="10" s="1"/>
  <c r="O14" i="3"/>
  <c r="C28" i="10"/>
  <c r="E28" i="10" s="1"/>
  <c r="O16" i="3"/>
  <c r="C30" i="10"/>
  <c r="E30" i="10" s="1"/>
  <c r="O21" i="3"/>
  <c r="C35" i="10"/>
  <c r="E35" i="10" s="1"/>
  <c r="O23" i="3"/>
  <c r="C37" i="10"/>
  <c r="E37" i="10" s="1"/>
  <c r="O27" i="3"/>
  <c r="C41" i="10"/>
  <c r="E41" i="10" s="1"/>
  <c r="O11" i="3"/>
  <c r="C25" i="10"/>
  <c r="E25" i="10" s="1"/>
  <c r="B6" i="4"/>
  <c r="B3" i="5"/>
  <c r="G3" i="5" s="1"/>
  <c r="B2" i="4"/>
  <c r="B2" i="5"/>
  <c r="G2" i="5" s="1"/>
  <c r="B8" i="4"/>
  <c r="D4" i="6"/>
  <c r="O3" i="3"/>
  <c r="B9" i="4"/>
  <c r="O2" i="3"/>
  <c r="D3" i="6"/>
  <c r="B7" i="4"/>
  <c r="B5" i="5"/>
  <c r="G5" i="5" s="1"/>
  <c r="B3" i="4"/>
  <c r="O5" i="3"/>
  <c r="B5" i="4"/>
  <c r="F5" i="4" s="1"/>
  <c r="B2" i="6"/>
  <c r="B4" i="4"/>
  <c r="C2" i="6"/>
  <c r="B4" i="5"/>
  <c r="G4" i="5" s="1"/>
  <c r="D2" i="6"/>
  <c r="E2" i="6"/>
  <c r="F2" i="6"/>
  <c r="F5" i="6" l="1"/>
  <c r="F3" i="4"/>
  <c r="F2" i="4"/>
  <c r="B5" i="6"/>
  <c r="C5" i="6"/>
  <c r="D5" i="6"/>
  <c r="E5" i="6"/>
  <c r="F8" i="4"/>
  <c r="F7" i="4"/>
  <c r="F6" i="4"/>
  <c r="F4" i="4"/>
  <c r="F9" i="4"/>
</calcChain>
</file>

<file path=xl/sharedStrings.xml><?xml version="1.0" encoding="utf-8"?>
<sst xmlns="http://schemas.openxmlformats.org/spreadsheetml/2006/main" count="2063" uniqueCount="134">
  <si>
    <t>Position</t>
  </si>
  <si>
    <t>Schicht</t>
  </si>
  <si>
    <t>Auswerten</t>
  </si>
  <si>
    <t>Korrekte_EPD_ID</t>
  </si>
  <si>
    <t>Vorschlag (häufigster Match)</t>
  </si>
  <si>
    <t>Anmerkung</t>
  </si>
  <si>
    <t>Deckschicht</t>
  </si>
  <si>
    <t>Ja</t>
  </si>
  <si>
    <t>864</t>
  </si>
  <si>
    <t>Binderschicht</t>
  </si>
  <si>
    <t>38</t>
  </si>
  <si>
    <t>Tragschicht</t>
  </si>
  <si>
    <t>39</t>
  </si>
  <si>
    <t>Schottertrag</t>
  </si>
  <si>
    <t>Frostschutzschicht</t>
  </si>
  <si>
    <t>839</t>
  </si>
  <si>
    <t>Report</t>
  </si>
  <si>
    <t>Config</t>
  </si>
  <si>
    <t>Model</t>
  </si>
  <si>
    <t>Run #</t>
  </si>
  <si>
    <t>Duration [s]</t>
  </si>
  <si>
    <t>Cost [USD]</t>
  </si>
  <si>
    <t>Input Tokens</t>
  </si>
  <si>
    <t>Output Tokens</t>
  </si>
  <si>
    <t>Total Tokens</t>
  </si>
  <si>
    <t>API Calls</t>
  </si>
  <si>
    <t>Top Match 1</t>
  </si>
  <si>
    <t>Top Match 2</t>
  </si>
  <si>
    <t>Top Match 3</t>
  </si>
  <si>
    <t>Top Match 4</t>
  </si>
  <si>
    <t>Top Match 5</t>
  </si>
  <si>
    <t>Pos1 Correct</t>
  </si>
  <si>
    <t>Pos2 Correct</t>
  </si>
  <si>
    <t>Pos3 Correct</t>
  </si>
  <si>
    <t>Pos4 Correct</t>
  </si>
  <si>
    <t>Pos5 Correct</t>
  </si>
  <si>
    <t>Correct Count</t>
  </si>
  <si>
    <t>Evaluated Count</t>
  </si>
  <si>
    <t>Accuracy [%]</t>
  </si>
  <si>
    <t>Model_Config</t>
  </si>
  <si>
    <t>full_benchmark_report1.json</t>
  </si>
  <si>
    <t>C1_Hybrid</t>
  </si>
  <si>
    <t>gpt-4o-mini</t>
  </si>
  <si>
    <t>934</t>
  </si>
  <si>
    <t>C2_Precision</t>
  </si>
  <si>
    <t>823</t>
  </si>
  <si>
    <t>C3_Single</t>
  </si>
  <si>
    <t>C4_Baseline</t>
  </si>
  <si>
    <t>C5_BatchFiltered</t>
  </si>
  <si>
    <t>gpt-5-nano</t>
  </si>
  <si>
    <t>838</t>
  </si>
  <si>
    <t>549</t>
  </si>
  <si>
    <t>gpt-5-chat</t>
  </si>
  <si>
    <t>gpt-5.2-chat</t>
  </si>
  <si>
    <t>401</t>
  </si>
  <si>
    <t>full_benchmark_report2.json</t>
  </si>
  <si>
    <t>C6_BatchOnly</t>
  </si>
  <si>
    <t>C7_FilterOnly</t>
  </si>
  <si>
    <t>C8_BatchFiltered_NoName</t>
  </si>
  <si>
    <t>1</t>
  </si>
  <si>
    <t>130</t>
  </si>
  <si>
    <t>Avg Accuracy [%]</t>
  </si>
  <si>
    <t>Std Accuracy [%]</t>
  </si>
  <si>
    <t>Min Accuracy [%]</t>
  </si>
  <si>
    <t>Max Accuracy [%]</t>
  </si>
  <si>
    <t>Avg Cost [USD]</t>
  </si>
  <si>
    <t>Total Cost [USD]</t>
  </si>
  <si>
    <t>Avg Duration [s]</t>
  </si>
  <si>
    <t>Avg Total Tokens</t>
  </si>
  <si>
    <t>Avg Input Tokens</t>
  </si>
  <si>
    <t>Avg Output Tokens</t>
  </si>
  <si>
    <t>Cost per Acc Point</t>
  </si>
  <si>
    <t>Runs</t>
  </si>
  <si>
    <t>Evaluated Layers</t>
  </si>
  <si>
    <t>Mean Accuracy [%]</t>
  </si>
  <si>
    <t>Mean Cost [USD]</t>
  </si>
  <si>
    <t>Mean Duration [s]</t>
  </si>
  <si>
    <t>Mean Input Tokens</t>
  </si>
  <si>
    <t>Acc vs Baseline [%]</t>
  </si>
  <si>
    <t>Cost vs Baseline [%]</t>
  </si>
  <si>
    <t>Mean Output Tokens</t>
  </si>
  <si>
    <t>Efficiency Score</t>
  </si>
  <si>
    <t>Kriterium</t>
  </si>
  <si>
    <t>🎯 Höchste Accuracy</t>
  </si>
  <si>
    <t>💰 Niedrigste Kosten</t>
  </si>
  <si>
    <t>⚡ Schnellste</t>
  </si>
  <si>
    <t>⚖️ Beste Kosten-Effizienz</t>
  </si>
  <si>
    <t>Status</t>
  </si>
  <si>
    <t>Korrekte EPD-ID</t>
  </si>
  <si>
    <t>Correct Runs</t>
  </si>
  <si>
    <t>Total Runs</t>
  </si>
  <si>
    <t>Timestamp</t>
  </si>
  <si>
    <t>Config Beschreibung</t>
  </si>
  <si>
    <t>Avg API Calls</t>
  </si>
  <si>
    <t>Error Count</t>
  </si>
  <si>
    <t>Anzahl Runs</t>
  </si>
  <si>
    <t>2026-01-22T17:23:00.260349</t>
  </si>
  <si>
    <t>Batch processing with name prioritization, no pre-filter</t>
  </si>
  <si>
    <t>Single calls with glossary pre-filter and name prioritization</t>
  </si>
  <si>
    <t>Single calls with name prioritization only, no pre-filter</t>
  </si>
  <si>
    <t>Single calls without any optimizations (baseline)</t>
  </si>
  <si>
    <t>Batch processing with glossary pre-filter and name prioritization</t>
  </si>
  <si>
    <t>2026-01-23T14:42:50.841035</t>
  </si>
  <si>
    <t>Batch processing only (no name prioritization, no pre-filter)</t>
  </si>
  <si>
    <t>Single calls with glossary pre-filter only (no name prioritization)</t>
  </si>
  <si>
    <t>Batch processing with glossary pre-filter, no name prioritization</t>
  </si>
  <si>
    <t>Config Name</t>
  </si>
  <si>
    <t>Beschreibung</t>
  </si>
  <si>
    <t>PREFER_NAME_FIELD</t>
  </si>
  <si>
    <t>USE_GLOSSAR_FILTER</t>
  </si>
  <si>
    <t>USE_BATCH_MODE</t>
  </si>
  <si>
    <t>Base: USE_GLOSSAR</t>
  </si>
  <si>
    <t>Base: USE_DETAIL_MATCHING</t>
  </si>
  <si>
    <t>Base: MATCHING_COLUMNS</t>
  </si>
  <si>
    <t>Base: USE_CONFIDENCE_VALIDATION</t>
  </si>
  <si>
    <t>true</t>
  </si>
  <si>
    <t>false</t>
  </si>
  <si>
    <t>name,technischeBeschreibung,anmerkungen</t>
  </si>
  <si>
    <t>Nein</t>
  </si>
  <si>
    <t>P1</t>
  </si>
  <si>
    <t>P2</t>
  </si>
  <si>
    <t>P3</t>
  </si>
  <si>
    <t>P4</t>
  </si>
  <si>
    <t>P5</t>
  </si>
  <si>
    <t>P6</t>
  </si>
  <si>
    <t>P7</t>
  </si>
  <si>
    <t>P8</t>
  </si>
  <si>
    <t>Spalte1</t>
  </si>
  <si>
    <t>Spalte2</t>
  </si>
  <si>
    <t>Kosten pro</t>
  </si>
  <si>
    <t>Aufrufe</t>
  </si>
  <si>
    <t>Acc</t>
  </si>
  <si>
    <t>Cost per 1000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</si>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</sst>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2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Standard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0B7AE-6914-4851-B46F-76DC9C5EAEDB}" name="Tabelle2" displayName="Tabelle2" ref="A1:Q33" totalsRowShown="0" headerRowDxfId="64" dataDxfId="62" headerRowBorderDxfId="63" tableBorderDxfId="61" totalsRowBorderDxfId="60">
  <autoFilter ref="A1:Q33" xr:uid="{C900B7AE-6914-4851-B46F-76DC9C5EAEDB}"/>
  <sortState xmlns:xlrd2="http://schemas.microsoft.com/office/spreadsheetml/2017/richdata2" ref="A2:Q33">
    <sortCondition ref="O1:O33"/>
  </sortState>
  <tableColumns count="17">
    <tableColumn id="1" xr3:uid="{B4D1A50F-FB1C-46D7-B895-8581A00B33F3}" name="Model" dataDxfId="59"/>
    <tableColumn id="2" xr3:uid="{8B284E32-E48E-4B65-BDB7-9D81A3F6F81E}" name="Config" dataDxfId="58"/>
    <tableColumn id="17" xr3:uid="{3F003D3B-3E2C-4835-A192-5B4D99DA071C}" name="Spalte2" dataDxfId="57">
      <calculatedColumnFormula>_xlfn.XLOOKUP(Tabelle2[[#This Row],[Config]],Tabelle2!$A$1:$A$8,Tabelle2!$B$1:$B$8)</calculatedColumnFormula>
    </tableColumn>
    <tableColumn id="16" xr3:uid="{7D69DB2B-A2B1-4ADC-9AF4-84B04DD13B96}" name="Spalte1" dataDxfId="56">
      <calculatedColumnFormula>Tabelle2[[#This Row],[Model]] &amp; " | " &amp; Tabelle2[[#This Row],[Spalte2]]</calculatedColumnFormula>
    </tableColumn>
    <tableColumn id="3" xr3:uid="{3EB76DFC-D17F-4EE5-A11E-85693CF3067A}" name="Avg Accuracy [%]" dataDxfId="55">
      <calculatedColumnFormula>SUMPRODUCT(('Benchmark-Runs'!$X$2:$X$161=A2&amp;"_"&amp;B2)*('Benchmark-Runs'!$W$2:$W$161))/COUNTIF('Benchmark-Runs'!$X$2:$X$161,A2&amp;"_"&amp;B2)</calculatedColumnFormula>
    </tableColumn>
    <tableColumn id="4" xr3:uid="{CC2ADD5D-E556-48F2-81F6-0450DCB24A4A}" name="Std Accuracy [%]" dataDxfId="54">
      <calculatedColumnFormula>IFERROR(SQRT(SUMPRODUCT(('Benchmark-Runs'!$X$2:$X$161=A2&amp;"_"&amp;B2)*('Benchmark-Runs'!$W$2:$W$161)^2)/COUNTIF('Benchmark-Runs'!$X$2:$X$161,A2&amp;"_"&amp;B2)-(SUMPRODUCT(('Benchmark-Runs'!$X$2:$X$161=A2&amp;"_"&amp;B2)*('Benchmark-Runs'!$W$2:$W$161))/COUNTIF('Benchmark-Runs'!$X$2:$X$161,A2&amp;"_"&amp;B2))^2),0)</calculatedColumnFormula>
    </tableColumn>
    <tableColumn id="5" xr3:uid="{54E5217C-9EF2-4354-9313-ED86593B9941}" name="Min Accuracy [%]" dataDxfId="53">
      <calculatedColumnFormula>_xlfn.SINGLE(_xlfn.MINIFS('Benchmark-Runs'!$W$2:$W$161,'Benchmark-Runs'!$X$2:$X$161,A2&amp;"_"&amp;B2))</calculatedColumnFormula>
    </tableColumn>
    <tableColumn id="6" xr3:uid="{87E8FADA-3F2F-4958-8FAD-182F059EFAA5}" name="Max Accuracy [%]" dataDxfId="52">
      <calculatedColumnFormula>_xlfn.SINGLE(_xlfn.MAXIFS('Benchmark-Runs'!$W$2:$W$161,'Benchmark-Runs'!$X$2:$X$161,A2&amp;"_"&amp;B2))</calculatedColumnFormula>
    </tableColumn>
    <tableColumn id="7" xr3:uid="{A202C81F-9800-4B14-83FA-FC1E0A92E16A}" name="Avg Cost [USD]" dataDxfId="51">
      <calculatedColumnFormula>SUMPRODUCT(('Benchmark-Runs'!$X$2:$X$161=A2&amp;"_"&amp;B2)*('Benchmark-Runs'!$F$2:$F$161))/COUNTIF('Benchmark-Runs'!$X$2:$X$161,A2&amp;"_"&amp;B2)</calculatedColumnFormula>
    </tableColumn>
    <tableColumn id="8" xr3:uid="{CDA0F6F7-16D9-4945-BBA4-9427B284C39E}" name="Total Cost [USD]" dataDxfId="50">
      <calculatedColumnFormula>SUMPRODUCT(('Benchmark-Runs'!$X$2:$X$161=A2&amp;"_"&amp;B2)*('Benchmark-Runs'!$F$2:$F$161))</calculatedColumnFormula>
    </tableColumn>
    <tableColumn id="9" xr3:uid="{443BB446-3BFA-47C4-B334-6A1571F3EE08}" name="Avg Duration [s]" dataDxfId="49">
      <calculatedColumnFormula>SUMPRODUCT(('Benchmark-Runs'!$X$2:$X$161=A2&amp;"_"&amp;B2)*('Benchmark-Runs'!$E$2:$E$161))/COUNTIF('Benchmark-Runs'!$X$2:$X$161,A2&amp;"_"&amp;B2)</calculatedColumnFormula>
    </tableColumn>
    <tableColumn id="10" xr3:uid="{98FD15C7-04B6-4B45-BE27-FBD4DAC2FDF4}" name="Avg Total Tokens" dataDxfId="48">
      <calculatedColumnFormula>SUMPRODUCT(('Benchmark-Runs'!$X$2:$X$161=A2&amp;"_"&amp;B2)*('Benchmark-Runs'!$I$2:$I$161))/COUNTIF('Benchmark-Runs'!$X$2:$X$161,A2&amp;"_"&amp;B2)</calculatedColumnFormula>
    </tableColumn>
    <tableColumn id="11" xr3:uid="{D4D188AA-B2D8-4903-9F48-4974D37CEC7D}" name="Avg Input Tokens" dataDxfId="47">
      <calculatedColumnFormula>SUMPRODUCT(('Benchmark-Runs'!$X$2:$X$161=A2&amp;"_"&amp;B2)*('Benchmark-Runs'!$G$2:$G$161))/COUNTIF('Benchmark-Runs'!$X$2:$X$161,A2&amp;"_"&amp;B2)</calculatedColumnFormula>
    </tableColumn>
    <tableColumn id="12" xr3:uid="{BDC40434-51D3-4C1D-93CE-4F021C834082}" name="Avg Output Tokens" dataDxfId="46">
      <calculatedColumnFormula>SUMPRODUCT(('Benchmark-Runs'!$X$2:$X$161=A2&amp;"_"&amp;B2)*('Benchmark-Runs'!$H$2:$H$161))/COUNTIF('Benchmark-Runs'!$X$2:$X$161,A2&amp;"_"&amp;B2)</calculatedColumnFormula>
    </tableColumn>
    <tableColumn id="13" xr3:uid="{61EF10DD-055B-4244-96B2-64144B5B9AEE}" name="Cost per Acc Point" dataDxfId="45">
      <calculatedColumnFormula>IFERROR(I2/E2,"-")</calculatedColumnFormula>
    </tableColumn>
    <tableColumn id="14" xr3:uid="{1B1A993F-41C9-4D9A-BB59-7B6A8A8174E8}" name="Runs" dataDxfId="44">
      <calculatedColumnFormula>COUNTIF('Benchmark-Runs'!$X$2:$X$161,A2&amp;"_"&amp;B2)</calculatedColumnFormula>
    </tableColumn>
    <tableColumn id="15" xr3:uid="{CAE2C2FF-5B4E-49D5-9276-5DD05A3408EC}" name="Evaluated Layers" dataDxfId="43">
      <calculatedColumnFormula>IFERROR(SUMPRODUCT(('Benchmark-Runs'!$X$2:$X$161=A2&amp;"_"&amp;B2)*('Benchmark-Runs'!$V$2:$V$161))/COUNTIF('Benchmark-Runs'!$X$2:$X$161,A2&amp;"_"&amp;B2),"-")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B0FB8-CBAF-45CE-8C26-3CD1570EECD8}" name="Tabelle1" displayName="Tabelle1" ref="A1:X161" totalsRowShown="0" headerRowDxfId="42" dataDxfId="40" headerRowBorderDxfId="41" tableBorderDxfId="39" totalsRowBorderDxfId="38">
  <autoFilter ref="A1:X161" xr:uid="{415B0FB8-CBAF-45CE-8C26-3CD1570EECD8}"/>
  <tableColumns count="24">
    <tableColumn id="1" xr3:uid="{92C0452E-7D1A-4FAB-9EF0-5EE84DB457D1}" name="Report" dataDxfId="37"/>
    <tableColumn id="2" xr3:uid="{BEDA4CF6-FB08-4E56-8729-23D838A9AB0D}" name="Config" dataDxfId="36"/>
    <tableColumn id="3" xr3:uid="{C75CAF29-C866-4CAE-9EA1-0EA871819C3F}" name="Model" dataDxfId="35"/>
    <tableColumn id="4" xr3:uid="{A6260D67-BABF-4367-B2A5-AB0DAABD6292}" name="Run #" dataDxfId="34"/>
    <tableColumn id="5" xr3:uid="{2BA341D2-E952-4FF5-9B3B-D2A03B699C8F}" name="Duration [s]" dataDxfId="33"/>
    <tableColumn id="6" xr3:uid="{43F15EA4-A104-40E2-AAD9-46A87891409C}" name="Cost [USD]" dataDxfId="32"/>
    <tableColumn id="7" xr3:uid="{6FC8342F-BD55-4BA3-A034-08537765CD19}" name="Input Tokens" dataDxfId="31"/>
    <tableColumn id="8" xr3:uid="{A0FCC10D-8703-4F82-827D-AAE6521422DE}" name="Output Tokens" dataDxfId="30"/>
    <tableColumn id="9" xr3:uid="{D06147D9-7743-4DDC-AA8E-3371E03CA713}" name="Total Tokens" dataDxfId="29">
      <calculatedColumnFormula>G2+H2</calculatedColumnFormula>
    </tableColumn>
    <tableColumn id="10" xr3:uid="{FF515570-AB08-4DB3-8F25-759D401E1DC3}" name="API Calls" dataDxfId="28"/>
    <tableColumn id="11" xr3:uid="{47A969FE-E12D-4451-B6FC-D26614869F29}" name="Top Match 1" dataDxfId="27"/>
    <tableColumn id="12" xr3:uid="{14674693-BB54-46C8-848A-107A6B4FA207}" name="Top Match 2" dataDxfId="26"/>
    <tableColumn id="13" xr3:uid="{91F18053-3679-4800-A3B3-9A5D35A212F5}" name="Top Match 3" dataDxfId="25"/>
    <tableColumn id="14" xr3:uid="{3B88F927-4E63-44CD-80D9-0C4832EA1663}" name="Top Match 4" dataDxfId="24"/>
    <tableColumn id="15" xr3:uid="{CE4F2E24-8709-42B0-8068-584ABD506D28}" name="Top Match 5" dataDxfId="23"/>
    <tableColumn id="16" xr3:uid="{D3019EE3-82DE-44E4-ACEC-8BA9E3F1EE3F}" name="Pos1 Correct" dataDxfId="22">
      <calculatedColumnFormula>IF(OR('Ground-Truth'!$C$2&lt;&gt;"Ja",'Ground-Truth'!$D$2=""),"",IF(TEXT(K2,"0")=TEXT('Ground-Truth'!$D$2,"0"),1,0))</calculatedColumnFormula>
    </tableColumn>
    <tableColumn id="17" xr3:uid="{88FA15D2-ECDE-48D4-9FD1-56F880AF90B4}" name="Pos2 Correct" dataDxfId="21">
      <calculatedColumnFormula>IF(OR('Ground-Truth'!$C$3&lt;&gt;"Ja",'Ground-Truth'!$D$3=""),"",IF(TEXT(L2,"0")=TEXT('Ground-Truth'!$D$3,"0"),1,0))</calculatedColumnFormula>
    </tableColumn>
    <tableColumn id="18" xr3:uid="{9C0A1692-D2B8-4A4B-AD05-668F71223839}" name="Pos3 Correct" dataDxfId="20">
      <calculatedColumnFormula>IF(OR('Ground-Truth'!$C$4&lt;&gt;"Ja",'Ground-Truth'!$D$4=""),"",IF(TEXT(M2,"0")=TEXT('Ground-Truth'!$D$4,"0"),1,0))</calculatedColumnFormula>
    </tableColumn>
    <tableColumn id="19" xr3:uid="{DAE157B5-6516-4732-9334-3A28010D553A}" name="Pos4 Correct" dataDxfId="19">
      <calculatedColumnFormula>IF(OR('Ground-Truth'!$C$5&lt;&gt;"Ja",'Ground-Truth'!$D$5=""),"",IF(TEXT(N2,"0")=TEXT('Ground-Truth'!$D$5,"0"),1,0))</calculatedColumnFormula>
    </tableColumn>
    <tableColumn id="20" xr3:uid="{FB6E4F65-A88B-4C1C-80E4-7A2673B78CCB}" name="Pos5 Correct" dataDxfId="18">
      <calculatedColumnFormula>IF(OR('Ground-Truth'!$C$6&lt;&gt;"Ja",'Ground-Truth'!$D$6=""),"",IF(TEXT(O2,"0")=TEXT('Ground-Truth'!$D$6,"0"),1,0))</calculatedColumnFormula>
    </tableColumn>
    <tableColumn id="21" xr3:uid="{08078FEB-979D-4CAD-B94B-47943ABEEE99}" name="Correct Count" dataDxfId="17">
      <calculatedColumnFormula>SUM(P2:T2)</calculatedColumnFormula>
    </tableColumn>
    <tableColumn id="22" xr3:uid="{ED11A198-8CF5-439C-ACD4-2784CB727BE8}" name="Evaluated Count" dataDxfId="16">
      <calculatedColumnFormula>COUNT(P2:T2)</calculatedColumnFormula>
    </tableColumn>
    <tableColumn id="23" xr3:uid="{18C9841C-308E-47F4-90DA-5D46B4B99096}" name="Accuracy [%]" dataDxfId="15">
      <calculatedColumnFormula>IF(V2=0,0,U2/V2*100)</calculatedColumnFormula>
    </tableColumn>
    <tableColumn id="24" xr3:uid="{127E01A4-B2C9-43E0-8EA5-21E44ADE3D69}" name="Model_Config" dataDxfId="14">
      <calculatedColumnFormula>C2&amp;"_"&amp;B2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B2329-88CE-494C-94A8-8B6F0E772A22}" name="Tabelle3" displayName="Tabelle3" ref="A1:I161" totalsRowShown="0" headerRowDxfId="0" dataDxfId="1" headerRowBorderDxfId="12" tableBorderDxfId="13" totalsRowBorderDxfId="11">
  <autoFilter ref="A1:I161" xr:uid="{353B2329-88CE-494C-94A8-8B6F0E772A22}"/>
  <tableColumns count="9">
    <tableColumn id="1" xr3:uid="{51732FAE-2D31-4257-BFC5-E4327A891BA2}" name="Position" dataDxfId="10"/>
    <tableColumn id="2" xr3:uid="{249CFB21-03D5-45D9-8DF3-DFA06C2DEA44}" name="Schicht" dataDxfId="9"/>
    <tableColumn id="3" xr3:uid="{F5B38A7B-7298-4F31-97CC-CAABF525D804}" name="Status" dataDxfId="8"/>
    <tableColumn id="4" xr3:uid="{54D0066E-E589-488F-9259-8D3782892EEB}" name="Korrekte EPD-ID" dataDxfId="7"/>
    <tableColumn id="5" xr3:uid="{6D17C86F-D56A-467C-9E47-7485AABF9A30}" name="Model" dataDxfId="6"/>
    <tableColumn id="6" xr3:uid="{D443FAE6-8819-4CDB-BE1E-1D1E451010EE}" name="Config" dataDxfId="5"/>
    <tableColumn id="7" xr3:uid="{FAF91EA4-9865-4776-B7B3-E2ED4C85E923}" name="Accuracy [%]" dataDxfId="4"/>
    <tableColumn id="8" xr3:uid="{4065A684-D46D-4256-9F3F-526AD49E725D}" name="Correct Runs" dataDxfId="3"/>
    <tableColumn id="9" xr3:uid="{243AE095-984C-4855-A32A-B095655EB2E4}" name="Total Run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Q33"/>
  <sheetViews>
    <sheetView workbookViewId="0">
      <selection activeCell="H36" sqref="H36:I44"/>
    </sheetView>
  </sheetViews>
  <sheetFormatPr baseColWidth="10" defaultColWidth="23.140625" defaultRowHeight="15" x14ac:dyDescent="0.25"/>
  <cols>
    <col min="2" max="3" width="29.42578125" customWidth="1"/>
    <col min="4" max="4" width="36.5703125" bestFit="1" customWidth="1"/>
    <col min="15" max="15" width="26.42578125" customWidth="1"/>
  </cols>
  <sheetData>
    <row r="1" spans="1:17" x14ac:dyDescent="0.25">
      <c r="A1" s="5" t="s">
        <v>18</v>
      </c>
      <c r="B1" s="6" t="s">
        <v>17</v>
      </c>
      <c r="C1" s="6" t="s">
        <v>128</v>
      </c>
      <c r="D1" s="6" t="s">
        <v>127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  <c r="N1" s="6" t="s">
        <v>70</v>
      </c>
      <c r="O1" s="6" t="s">
        <v>71</v>
      </c>
      <c r="P1" s="6" t="s">
        <v>72</v>
      </c>
      <c r="Q1" s="7" t="s">
        <v>73</v>
      </c>
    </row>
    <row r="2" spans="1:17" x14ac:dyDescent="0.25">
      <c r="A2" s="3" t="s">
        <v>42</v>
      </c>
      <c r="B2" s="2" t="s">
        <v>58</v>
      </c>
      <c r="C2" s="2" t="str">
        <f>_xlfn.XLOOKUP(Tabelle2[[#This Row],[Config]],Tabelle2!$A$1:$A$8,Tabelle2!$B$1:$B$8)</f>
        <v>P7</v>
      </c>
      <c r="D2" s="2" t="str">
        <f>Tabelle2[[#This Row],[Model]] &amp; " | " &amp; Tabelle2[[#This Row],[Spalte2]]</f>
        <v>gpt-4o-mini | P7</v>
      </c>
      <c r="E2" s="2">
        <f>SUMPRODUCT(('Benchmark-Runs'!$X$2:$X$161=A2&amp;"_"&amp;B2)*('Benchmark-Runs'!$W$2:$W$161))/COUNTIF('Benchmark-Runs'!$X$2:$X$161,A2&amp;"_"&amp;B2)</f>
        <v>80</v>
      </c>
      <c r="F2" s="2">
        <f>IFERROR(SQRT(SUMPRODUCT(('Benchmark-Runs'!$X$2:$X$161=A2&amp;"_"&amp;B2)*('Benchmark-Runs'!$W$2:$W$161)^2)/COUNTIF('Benchmark-Runs'!$X$2:$X$161,A2&amp;"_"&amp;B2)-(SUMPRODUCT(('Benchmark-Runs'!$X$2:$X$161=A2&amp;"_"&amp;B2)*('Benchmark-Runs'!$W$2:$W$161))/COUNTIF('Benchmark-Runs'!$X$2:$X$161,A2&amp;"_"&amp;B2))^2),0)</f>
        <v>16.329931618554504</v>
      </c>
      <c r="G2" s="2">
        <f>_xlfn.SINGLE(_xlfn.MINIFS('Benchmark-Runs'!$W$2:$W$161,'Benchmark-Runs'!$X$2:$X$161,A2&amp;"_"&amp;B2))</f>
        <v>66.666666666666657</v>
      </c>
      <c r="H2" s="2">
        <f>_xlfn.SINGLE(_xlfn.MAXIFS('Benchmark-Runs'!$W$2:$W$161,'Benchmark-Runs'!$X$2:$X$161,A2&amp;"_"&amp;B2))</f>
        <v>100</v>
      </c>
      <c r="I2" s="2">
        <f>SUMPRODUCT(('Benchmark-Runs'!$X$2:$X$161=A2&amp;"_"&amp;B2)*('Benchmark-Runs'!$F$2:$F$161))/COUNTIF('Benchmark-Runs'!$X$2:$X$161,A2&amp;"_"&amp;B2)</f>
        <v>9.2440000000000003E-4</v>
      </c>
      <c r="J2" s="2">
        <f>SUMPRODUCT(('Benchmark-Runs'!$X$2:$X$161=A2&amp;"_"&amp;B2)*('Benchmark-Runs'!$F$2:$F$161))</f>
        <v>4.6220000000000002E-3</v>
      </c>
      <c r="K2" s="2">
        <f>SUMPRODUCT(('Benchmark-Runs'!$X$2:$X$161=A2&amp;"_"&amp;B2)*('Benchmark-Runs'!$E$2:$E$161))/COUNTIF('Benchmark-Runs'!$X$2:$X$161,A2&amp;"_"&amp;B2)</f>
        <v>9.282</v>
      </c>
      <c r="L2" s="2">
        <f>SUMPRODUCT(('Benchmark-Runs'!$X$2:$X$161=A2&amp;"_"&amp;B2)*('Benchmark-Runs'!$I$2:$I$161))/COUNTIF('Benchmark-Runs'!$X$2:$X$161,A2&amp;"_"&amp;B2)</f>
        <v>4854.8</v>
      </c>
      <c r="M2" s="2">
        <f>SUMPRODUCT(('Benchmark-Runs'!$X$2:$X$161=A2&amp;"_"&amp;B2)*('Benchmark-Runs'!$G$2:$G$161))/COUNTIF('Benchmark-Runs'!$X$2:$X$161,A2&amp;"_"&amp;B2)</f>
        <v>4419</v>
      </c>
      <c r="N2" s="2">
        <f>SUMPRODUCT(('Benchmark-Runs'!$X$2:$X$161=A2&amp;"_"&amp;B2)*('Benchmark-Runs'!$H$2:$H$161))/COUNTIF('Benchmark-Runs'!$X$2:$X$161,A2&amp;"_"&amp;B2)</f>
        <v>435.8</v>
      </c>
      <c r="O2" s="2">
        <f t="shared" ref="O2:O33" si="0">IFERROR(I2/E2,"-")</f>
        <v>1.1555E-5</v>
      </c>
      <c r="P2" s="2">
        <f>COUNTIF('Benchmark-Runs'!$X$2:$X$161,A2&amp;"_"&amp;B2)</f>
        <v>5</v>
      </c>
      <c r="Q2" s="4">
        <f>IFERROR(SUMPRODUCT(('Benchmark-Runs'!$X$2:$X$161=A2&amp;"_"&amp;B2)*('Benchmark-Runs'!$V$2:$V$161))/COUNTIF('Benchmark-Runs'!$X$2:$X$161,A2&amp;"_"&amp;B2),"-")</f>
        <v>3</v>
      </c>
    </row>
    <row r="3" spans="1:17" x14ac:dyDescent="0.25">
      <c r="A3" s="3" t="s">
        <v>42</v>
      </c>
      <c r="B3" s="2" t="s">
        <v>48</v>
      </c>
      <c r="C3" s="2" t="str">
        <f>_xlfn.XLOOKUP(Tabelle2[[#This Row],[Config]],Tabelle2!$A$1:$A$8,Tabelle2!$B$1:$B$8)</f>
        <v>P8</v>
      </c>
      <c r="D3" s="2" t="str">
        <f>Tabelle2[[#This Row],[Model]] &amp; " | " &amp; Tabelle2[[#This Row],[Spalte2]]</f>
        <v>gpt-4o-mini | P8</v>
      </c>
      <c r="E3" s="2">
        <f>SUMPRODUCT(('Benchmark-Runs'!$X$2:$X$161=A3&amp;"_"&amp;B3)*('Benchmark-Runs'!$W$2:$W$161))/COUNTIF('Benchmark-Runs'!$X$2:$X$161,A3&amp;"_"&amp;B3)</f>
        <v>66.666666666666657</v>
      </c>
      <c r="F3" s="2">
        <f>IFERROR(SQRT(SUMPRODUCT(('Benchmark-Runs'!$X$2:$X$161=A3&amp;"_"&amp;B3)*('Benchmark-Runs'!$W$2:$W$161)^2)/COUNTIF('Benchmark-Runs'!$X$2:$X$161,A3&amp;"_"&amp;B3)-(SUMPRODUCT(('Benchmark-Runs'!$X$2:$X$161=A3&amp;"_"&amp;B3)*('Benchmark-Runs'!$W$2:$W$161))/COUNTIF('Benchmark-Runs'!$X$2:$X$161,A3&amp;"_"&amp;B3))^2),0)</f>
        <v>0</v>
      </c>
      <c r="G3" s="2">
        <f>_xlfn.SINGLE(_xlfn.MINIFS('Benchmark-Runs'!$W$2:$W$161,'Benchmark-Runs'!$X$2:$X$161,A3&amp;"_"&amp;B3))</f>
        <v>66.666666666666657</v>
      </c>
      <c r="H3" s="2">
        <f>_xlfn.SINGLE(_xlfn.MAXIFS('Benchmark-Runs'!$W$2:$W$161,'Benchmark-Runs'!$X$2:$X$161,A3&amp;"_"&amp;B3))</f>
        <v>66.666666666666657</v>
      </c>
      <c r="I3" s="2">
        <f>SUMPRODUCT(('Benchmark-Runs'!$X$2:$X$161=A3&amp;"_"&amp;B3)*('Benchmark-Runs'!$F$2:$F$161))/COUNTIF('Benchmark-Runs'!$X$2:$X$161,A3&amp;"_"&amp;B3)</f>
        <v>9.41E-4</v>
      </c>
      <c r="J3" s="2">
        <f>SUMPRODUCT(('Benchmark-Runs'!$X$2:$X$161=A3&amp;"_"&amp;B3)*('Benchmark-Runs'!$F$2:$F$161))</f>
        <v>4.705E-3</v>
      </c>
      <c r="K3" s="2">
        <f>SUMPRODUCT(('Benchmark-Runs'!$X$2:$X$161=A3&amp;"_"&amp;B3)*('Benchmark-Runs'!$E$2:$E$161))/COUNTIF('Benchmark-Runs'!$X$2:$X$161,A3&amp;"_"&amp;B3)</f>
        <v>8.8000000000000007</v>
      </c>
      <c r="L3" s="2">
        <f>SUMPRODUCT(('Benchmark-Runs'!$X$2:$X$161=A3&amp;"_"&amp;B3)*('Benchmark-Runs'!$I$2:$I$161))/COUNTIF('Benchmark-Runs'!$X$2:$X$161,A3&amp;"_"&amp;B3)</f>
        <v>4882.8</v>
      </c>
      <c r="M3" s="2">
        <f>SUMPRODUCT(('Benchmark-Runs'!$X$2:$X$161=A3&amp;"_"&amp;B3)*('Benchmark-Runs'!$G$2:$G$161))/COUNTIF('Benchmark-Runs'!$X$2:$X$161,A3&amp;"_"&amp;B3)</f>
        <v>4419</v>
      </c>
      <c r="N3" s="2">
        <f>SUMPRODUCT(('Benchmark-Runs'!$X$2:$X$161=A3&amp;"_"&amp;B3)*('Benchmark-Runs'!$H$2:$H$161))/COUNTIF('Benchmark-Runs'!$X$2:$X$161,A3&amp;"_"&amp;B3)</f>
        <v>463.8</v>
      </c>
      <c r="O3" s="2">
        <f t="shared" si="0"/>
        <v>1.4115000000000001E-5</v>
      </c>
      <c r="P3" s="2">
        <f>COUNTIF('Benchmark-Runs'!$X$2:$X$161,A3&amp;"_"&amp;B3)</f>
        <v>5</v>
      </c>
      <c r="Q3" s="4">
        <f>IFERROR(SUMPRODUCT(('Benchmark-Runs'!$X$2:$X$161=A3&amp;"_"&amp;B3)*('Benchmark-Runs'!$V$2:$V$161))/COUNTIF('Benchmark-Runs'!$X$2:$X$161,A3&amp;"_"&amp;B3),"-")</f>
        <v>3</v>
      </c>
    </row>
    <row r="4" spans="1:17" x14ac:dyDescent="0.25">
      <c r="A4" s="3" t="s">
        <v>42</v>
      </c>
      <c r="B4" s="2" t="s">
        <v>57</v>
      </c>
      <c r="C4" s="2" t="str">
        <f>_xlfn.XLOOKUP(Tabelle2[[#This Row],[Config]],Tabelle2!$A$1:$A$8,Tabelle2!$B$1:$B$8)</f>
        <v>P3</v>
      </c>
      <c r="D4" s="2" t="str">
        <f>Tabelle2[[#This Row],[Model]] &amp; " | " &amp; Tabelle2[[#This Row],[Spalte2]]</f>
        <v>gpt-4o-mini | P3</v>
      </c>
      <c r="E4" s="2">
        <f>SUMPRODUCT(('Benchmark-Runs'!$X$2:$X$161=A4&amp;"_"&amp;B4)*('Benchmark-Runs'!$W$2:$W$161))/COUNTIF('Benchmark-Runs'!$X$2:$X$161,A4&amp;"_"&amp;B4)</f>
        <v>100</v>
      </c>
      <c r="F4" s="2">
        <f>IFERROR(SQRT(SUMPRODUCT(('Benchmark-Runs'!$X$2:$X$161=A4&amp;"_"&amp;B4)*('Benchmark-Runs'!$W$2:$W$161)^2)/COUNTIF('Benchmark-Runs'!$X$2:$X$161,A4&amp;"_"&amp;B4)-(SUMPRODUCT(('Benchmark-Runs'!$X$2:$X$161=A4&amp;"_"&amp;B4)*('Benchmark-Runs'!$W$2:$W$161))/COUNTIF('Benchmark-Runs'!$X$2:$X$161,A4&amp;"_"&amp;B4))^2),0)</f>
        <v>0</v>
      </c>
      <c r="G4" s="2">
        <f>_xlfn.SINGLE(_xlfn.MINIFS('Benchmark-Runs'!$W$2:$W$161,'Benchmark-Runs'!$X$2:$X$161,A4&amp;"_"&amp;B4))</f>
        <v>100</v>
      </c>
      <c r="H4" s="2">
        <f>_xlfn.SINGLE(_xlfn.MAXIFS('Benchmark-Runs'!$W$2:$W$161,'Benchmark-Runs'!$X$2:$X$161,A4&amp;"_"&amp;B4))</f>
        <v>100</v>
      </c>
      <c r="I4" s="2">
        <f>SUMPRODUCT(('Benchmark-Runs'!$X$2:$X$161=A4&amp;"_"&amp;B4)*('Benchmark-Runs'!$F$2:$F$161))/COUNTIF('Benchmark-Runs'!$X$2:$X$161,A4&amp;"_"&amp;B4)</f>
        <v>1.4120000000000001E-3</v>
      </c>
      <c r="J4" s="2">
        <f>SUMPRODUCT(('Benchmark-Runs'!$X$2:$X$161=A4&amp;"_"&amp;B4)*('Benchmark-Runs'!$F$2:$F$161))</f>
        <v>7.0600000000000003E-3</v>
      </c>
      <c r="K4" s="2">
        <f>SUMPRODUCT(('Benchmark-Runs'!$X$2:$X$161=A4&amp;"_"&amp;B4)*('Benchmark-Runs'!$E$2:$E$161))/COUNTIF('Benchmark-Runs'!$X$2:$X$161,A4&amp;"_"&amp;B4)</f>
        <v>13.175999999999998</v>
      </c>
      <c r="L4" s="2">
        <f>SUMPRODUCT(('Benchmark-Runs'!$X$2:$X$161=A4&amp;"_"&amp;B4)*('Benchmark-Runs'!$I$2:$I$161))/COUNTIF('Benchmark-Runs'!$X$2:$X$161,A4&amp;"_"&amp;B4)</f>
        <v>7285.4</v>
      </c>
      <c r="M4" s="2">
        <f>SUMPRODUCT(('Benchmark-Runs'!$X$2:$X$161=A4&amp;"_"&amp;B4)*('Benchmark-Runs'!$G$2:$G$161))/COUNTIF('Benchmark-Runs'!$X$2:$X$161,A4&amp;"_"&amp;B4)</f>
        <v>6576</v>
      </c>
      <c r="N4" s="2">
        <f>SUMPRODUCT(('Benchmark-Runs'!$X$2:$X$161=A4&amp;"_"&amp;B4)*('Benchmark-Runs'!$H$2:$H$161))/COUNTIF('Benchmark-Runs'!$X$2:$X$161,A4&amp;"_"&amp;B4)</f>
        <v>709.4</v>
      </c>
      <c r="O4" s="2">
        <f t="shared" si="0"/>
        <v>1.412E-5</v>
      </c>
      <c r="P4" s="2">
        <f>COUNTIF('Benchmark-Runs'!$X$2:$X$161,A4&amp;"_"&amp;B4)</f>
        <v>5</v>
      </c>
      <c r="Q4" s="4">
        <f>IFERROR(SUMPRODUCT(('Benchmark-Runs'!$X$2:$X$161=A4&amp;"_"&amp;B4)*('Benchmark-Runs'!$V$2:$V$161))/COUNTIF('Benchmark-Runs'!$X$2:$X$161,A4&amp;"_"&amp;B4),"-")</f>
        <v>3</v>
      </c>
    </row>
    <row r="5" spans="1:17" x14ac:dyDescent="0.25">
      <c r="A5" s="3" t="s">
        <v>42</v>
      </c>
      <c r="B5" s="2" t="s">
        <v>44</v>
      </c>
      <c r="C5" s="2" t="str">
        <f>_xlfn.XLOOKUP(Tabelle2[[#This Row],[Config]],Tabelle2!$A$1:$A$8,Tabelle2!$B$1:$B$8)</f>
        <v>P6</v>
      </c>
      <c r="D5" s="2" t="str">
        <f>Tabelle2[[#This Row],[Model]] &amp; " | " &amp; Tabelle2[[#This Row],[Spalte2]]</f>
        <v>gpt-4o-mini | P6</v>
      </c>
      <c r="E5" s="2">
        <f>SUMPRODUCT(('Benchmark-Runs'!$X$2:$X$161=A5&amp;"_"&amp;B5)*('Benchmark-Runs'!$W$2:$W$161))/COUNTIF('Benchmark-Runs'!$X$2:$X$161,A5&amp;"_"&amp;B5)</f>
        <v>73.333333333333329</v>
      </c>
      <c r="F5" s="2">
        <f>IFERROR(SQRT(SUMPRODUCT(('Benchmark-Runs'!$X$2:$X$161=A5&amp;"_"&amp;B5)*('Benchmark-Runs'!$W$2:$W$161)^2)/COUNTIF('Benchmark-Runs'!$X$2:$X$161,A5&amp;"_"&amp;B5)-(SUMPRODUCT(('Benchmark-Runs'!$X$2:$X$161=A5&amp;"_"&amp;B5)*('Benchmark-Runs'!$W$2:$W$161))/COUNTIF('Benchmark-Runs'!$X$2:$X$161,A5&amp;"_"&amp;B5))^2),0)</f>
        <v>13.333333333333318</v>
      </c>
      <c r="G5" s="2">
        <f>_xlfn.SINGLE(_xlfn.MINIFS('Benchmark-Runs'!$W$2:$W$161,'Benchmark-Runs'!$X$2:$X$161,A5&amp;"_"&amp;B5))</f>
        <v>66.666666666666657</v>
      </c>
      <c r="H5" s="2">
        <f>_xlfn.SINGLE(_xlfn.MAXIFS('Benchmark-Runs'!$W$2:$W$161,'Benchmark-Runs'!$X$2:$X$161,A5&amp;"_"&amp;B5))</f>
        <v>100</v>
      </c>
      <c r="I5" s="2">
        <f>SUMPRODUCT(('Benchmark-Runs'!$X$2:$X$161=A5&amp;"_"&amp;B5)*('Benchmark-Runs'!$F$2:$F$161))/COUNTIF('Benchmark-Runs'!$X$2:$X$161,A5&amp;"_"&amp;B5)</f>
        <v>1.3900000000000002E-3</v>
      </c>
      <c r="J5" s="2">
        <f>SUMPRODUCT(('Benchmark-Runs'!$X$2:$X$161=A5&amp;"_"&amp;B5)*('Benchmark-Runs'!$F$2:$F$161))</f>
        <v>6.9500000000000004E-3</v>
      </c>
      <c r="K5" s="2">
        <f>SUMPRODUCT(('Benchmark-Runs'!$X$2:$X$161=A5&amp;"_"&amp;B5)*('Benchmark-Runs'!$E$2:$E$161))/COUNTIF('Benchmark-Runs'!$X$2:$X$161,A5&amp;"_"&amp;B5)</f>
        <v>14.016</v>
      </c>
      <c r="L5" s="2">
        <f>SUMPRODUCT(('Benchmark-Runs'!$X$2:$X$161=A5&amp;"_"&amp;B5)*('Benchmark-Runs'!$I$2:$I$161))/COUNTIF('Benchmark-Runs'!$X$2:$X$161,A5&amp;"_"&amp;B5)</f>
        <v>7248.6</v>
      </c>
      <c r="M5" s="2">
        <f>SUMPRODUCT(('Benchmark-Runs'!$X$2:$X$161=A5&amp;"_"&amp;B5)*('Benchmark-Runs'!$G$2:$G$161))/COUNTIF('Benchmark-Runs'!$X$2:$X$161,A5&amp;"_"&amp;B5)</f>
        <v>6576</v>
      </c>
      <c r="N5" s="2">
        <f>SUMPRODUCT(('Benchmark-Runs'!$X$2:$X$161=A5&amp;"_"&amp;B5)*('Benchmark-Runs'!$H$2:$H$161))/COUNTIF('Benchmark-Runs'!$X$2:$X$161,A5&amp;"_"&amp;B5)</f>
        <v>672.6</v>
      </c>
      <c r="O5" s="2">
        <f t="shared" si="0"/>
        <v>1.8954545454545458E-5</v>
      </c>
      <c r="P5" s="2">
        <f>COUNTIF('Benchmark-Runs'!$X$2:$X$161,A5&amp;"_"&amp;B5)</f>
        <v>5</v>
      </c>
      <c r="Q5" s="4">
        <f>IFERROR(SUMPRODUCT(('Benchmark-Runs'!$X$2:$X$161=A5&amp;"_"&amp;B5)*('Benchmark-Runs'!$V$2:$V$161))/COUNTIF('Benchmark-Runs'!$X$2:$X$161,A5&amp;"_"&amp;B5),"-")</f>
        <v>3</v>
      </c>
    </row>
    <row r="6" spans="1:17" x14ac:dyDescent="0.25">
      <c r="A6" s="3" t="s">
        <v>42</v>
      </c>
      <c r="B6" s="2" t="s">
        <v>56</v>
      </c>
      <c r="C6" s="2" t="str">
        <f>_xlfn.XLOOKUP(Tabelle2[[#This Row],[Config]],Tabelle2!$A$1:$A$8,Tabelle2!$B$1:$B$8)</f>
        <v>P2</v>
      </c>
      <c r="D6" s="2" t="str">
        <f>Tabelle2[[#This Row],[Model]] &amp; " | " &amp; Tabelle2[[#This Row],[Spalte2]]</f>
        <v>gpt-4o-mini | P2</v>
      </c>
      <c r="E6" s="2">
        <f>SUMPRODUCT(('Benchmark-Runs'!$X$2:$X$161=A6&amp;"_"&amp;B6)*('Benchmark-Runs'!$W$2:$W$161))/COUNTIF('Benchmark-Runs'!$X$2:$X$161,A6&amp;"_"&amp;B6)</f>
        <v>100</v>
      </c>
      <c r="F6" s="2">
        <f>IFERROR(SQRT(SUMPRODUCT(('Benchmark-Runs'!$X$2:$X$161=A6&amp;"_"&amp;B6)*('Benchmark-Runs'!$W$2:$W$161)^2)/COUNTIF('Benchmark-Runs'!$X$2:$X$161,A6&amp;"_"&amp;B6)-(SUMPRODUCT(('Benchmark-Runs'!$X$2:$X$161=A6&amp;"_"&amp;B6)*('Benchmark-Runs'!$W$2:$W$161))/COUNTIF('Benchmark-Runs'!$X$2:$X$161,A6&amp;"_"&amp;B6))^2),0)</f>
        <v>0</v>
      </c>
      <c r="G6" s="2">
        <f>_xlfn.SINGLE(_xlfn.MINIFS('Benchmark-Runs'!$W$2:$W$161,'Benchmark-Runs'!$X$2:$X$161,A6&amp;"_"&amp;B6))</f>
        <v>100</v>
      </c>
      <c r="H6" s="2">
        <f>_xlfn.SINGLE(_xlfn.MAXIFS('Benchmark-Runs'!$W$2:$W$161,'Benchmark-Runs'!$X$2:$X$161,A6&amp;"_"&amp;B6))</f>
        <v>100</v>
      </c>
      <c r="I6" s="2">
        <f>SUMPRODUCT(('Benchmark-Runs'!$X$2:$X$161=A6&amp;"_"&amp;B6)*('Benchmark-Runs'!$F$2:$F$161))/COUNTIF('Benchmark-Runs'!$X$2:$X$161,A6&amp;"_"&amp;B6)</f>
        <v>3.8786000000000003E-3</v>
      </c>
      <c r="J6" s="2">
        <f>SUMPRODUCT(('Benchmark-Runs'!$X$2:$X$161=A6&amp;"_"&amp;B6)*('Benchmark-Runs'!$F$2:$F$161))</f>
        <v>1.9393000000000001E-2</v>
      </c>
      <c r="K6" s="2">
        <f>SUMPRODUCT(('Benchmark-Runs'!$X$2:$X$161=A6&amp;"_"&amp;B6)*('Benchmark-Runs'!$E$2:$E$161))/COUNTIF('Benchmark-Runs'!$X$2:$X$161,A6&amp;"_"&amp;B6)</f>
        <v>12.965999999999999</v>
      </c>
      <c r="L6" s="2">
        <f>SUMPRODUCT(('Benchmark-Runs'!$X$2:$X$161=A6&amp;"_"&amp;B6)*('Benchmark-Runs'!$I$2:$I$161))/COUNTIF('Benchmark-Runs'!$X$2:$X$161,A6&amp;"_"&amp;B6)</f>
        <v>23724.799999999999</v>
      </c>
      <c r="M6" s="2">
        <f>SUMPRODUCT(('Benchmark-Runs'!$X$2:$X$161=A6&amp;"_"&amp;B6)*('Benchmark-Runs'!$G$2:$G$161))/COUNTIF('Benchmark-Runs'!$X$2:$X$161,A6&amp;"_"&amp;B6)</f>
        <v>23014</v>
      </c>
      <c r="N6" s="2">
        <f>SUMPRODUCT(('Benchmark-Runs'!$X$2:$X$161=A6&amp;"_"&amp;B6)*('Benchmark-Runs'!$H$2:$H$161))/COUNTIF('Benchmark-Runs'!$X$2:$X$161,A6&amp;"_"&amp;B6)</f>
        <v>710.8</v>
      </c>
      <c r="O6" s="2">
        <f t="shared" si="0"/>
        <v>3.8786000000000004E-5</v>
      </c>
      <c r="P6" s="2">
        <f>COUNTIF('Benchmark-Runs'!$X$2:$X$161,A6&amp;"_"&amp;B6)</f>
        <v>5</v>
      </c>
      <c r="Q6" s="4">
        <f>IFERROR(SUMPRODUCT(('Benchmark-Runs'!$X$2:$X$161=A6&amp;"_"&amp;B6)*('Benchmark-Runs'!$V$2:$V$161))/COUNTIF('Benchmark-Runs'!$X$2:$X$161,A6&amp;"_"&amp;B6),"-")</f>
        <v>3</v>
      </c>
    </row>
    <row r="7" spans="1:17" x14ac:dyDescent="0.25">
      <c r="A7" s="3" t="s">
        <v>49</v>
      </c>
      <c r="B7" s="2" t="s">
        <v>58</v>
      </c>
      <c r="C7" s="2" t="str">
        <f>_xlfn.XLOOKUP(Tabelle2[[#This Row],[Config]],Tabelle2!$A$1:$A$8,Tabelle2!$B$1:$B$8)</f>
        <v>P7</v>
      </c>
      <c r="D7" s="2" t="str">
        <f>Tabelle2[[#This Row],[Model]] &amp; " | " &amp; Tabelle2[[#This Row],[Spalte2]]</f>
        <v>gpt-5-nano | P7</v>
      </c>
      <c r="E7" s="2">
        <f>SUMPRODUCT(('Benchmark-Runs'!$X$2:$X$161=A7&amp;"_"&amp;B7)*('Benchmark-Runs'!$W$2:$W$161))/COUNTIF('Benchmark-Runs'!$X$2:$X$161,A7&amp;"_"&amp;B7)</f>
        <v>86.666666666666657</v>
      </c>
      <c r="F7" s="2">
        <f>IFERROR(SQRT(SUMPRODUCT(('Benchmark-Runs'!$X$2:$X$161=A7&amp;"_"&amp;B7)*('Benchmark-Runs'!$W$2:$W$161)^2)/COUNTIF('Benchmark-Runs'!$X$2:$X$161,A7&amp;"_"&amp;B7)-(SUMPRODUCT(('Benchmark-Runs'!$X$2:$X$161=A7&amp;"_"&amp;B7)*('Benchmark-Runs'!$W$2:$W$161))/COUNTIF('Benchmark-Runs'!$X$2:$X$161,A7&amp;"_"&amp;B7))^2),0)</f>
        <v>16.329931618554586</v>
      </c>
      <c r="G7" s="2">
        <f>_xlfn.SINGLE(_xlfn.MINIFS('Benchmark-Runs'!$W$2:$W$161,'Benchmark-Runs'!$X$2:$X$161,A7&amp;"_"&amp;B7))</f>
        <v>66.666666666666657</v>
      </c>
      <c r="H7" s="2">
        <f>_xlfn.SINGLE(_xlfn.MAXIFS('Benchmark-Runs'!$W$2:$W$161,'Benchmark-Runs'!$X$2:$X$161,A7&amp;"_"&amp;B7))</f>
        <v>100</v>
      </c>
      <c r="I7" s="2">
        <f>SUMPRODUCT(('Benchmark-Runs'!$X$2:$X$161=A7&amp;"_"&amp;B7)*('Benchmark-Runs'!$F$2:$F$161))/COUNTIF('Benchmark-Runs'!$X$2:$X$161,A7&amp;"_"&amp;B7)</f>
        <v>3.5999999999999999E-3</v>
      </c>
      <c r="J7" s="2">
        <f>SUMPRODUCT(('Benchmark-Runs'!$X$2:$X$161=A7&amp;"_"&amp;B7)*('Benchmark-Runs'!$F$2:$F$161))</f>
        <v>1.7999999999999999E-2</v>
      </c>
      <c r="K7" s="2">
        <f>SUMPRODUCT(('Benchmark-Runs'!$X$2:$X$161=A7&amp;"_"&amp;B7)*('Benchmark-Runs'!$E$2:$E$161))/COUNTIF('Benchmark-Runs'!$X$2:$X$161,A7&amp;"_"&amp;B7)</f>
        <v>58.114000000000011</v>
      </c>
      <c r="L7" s="2">
        <f>SUMPRODUCT(('Benchmark-Runs'!$X$2:$X$161=A7&amp;"_"&amp;B7)*('Benchmark-Runs'!$I$2:$I$161))/COUNTIF('Benchmark-Runs'!$X$2:$X$161,A7&amp;"_"&amp;B7)</f>
        <v>12866</v>
      </c>
      <c r="M7" s="2">
        <f>SUMPRODUCT(('Benchmark-Runs'!$X$2:$X$161=A7&amp;"_"&amp;B7)*('Benchmark-Runs'!$G$2:$G$161))/COUNTIF('Benchmark-Runs'!$X$2:$X$161,A7&amp;"_"&amp;B7)</f>
        <v>4418</v>
      </c>
      <c r="N7" s="2">
        <f>SUMPRODUCT(('Benchmark-Runs'!$X$2:$X$161=A7&amp;"_"&amp;B7)*('Benchmark-Runs'!$H$2:$H$161))/COUNTIF('Benchmark-Runs'!$X$2:$X$161,A7&amp;"_"&amp;B7)</f>
        <v>8448</v>
      </c>
      <c r="O7" s="2">
        <f t="shared" si="0"/>
        <v>4.1538461538461544E-5</v>
      </c>
      <c r="P7" s="2">
        <f>COUNTIF('Benchmark-Runs'!$X$2:$X$161,A7&amp;"_"&amp;B7)</f>
        <v>5</v>
      </c>
      <c r="Q7" s="4">
        <f>IFERROR(SUMPRODUCT(('Benchmark-Runs'!$X$2:$X$161=A7&amp;"_"&amp;B7)*('Benchmark-Runs'!$V$2:$V$161))/COUNTIF('Benchmark-Runs'!$X$2:$X$161,A7&amp;"_"&amp;B7),"-")</f>
        <v>3</v>
      </c>
    </row>
    <row r="8" spans="1:17" x14ac:dyDescent="0.25">
      <c r="A8" s="3" t="s">
        <v>42</v>
      </c>
      <c r="B8" s="2" t="s">
        <v>41</v>
      </c>
      <c r="C8" s="2" t="str">
        <f>_xlfn.XLOOKUP(Tabelle2[[#This Row],[Config]],Tabelle2!$A$1:$A$8,Tabelle2!$B$1:$B$8)</f>
        <v>P5</v>
      </c>
      <c r="D8" s="2" t="str">
        <f>Tabelle2[[#This Row],[Model]] &amp; " | " &amp; Tabelle2[[#This Row],[Spalte2]]</f>
        <v>gpt-4o-mini | P5</v>
      </c>
      <c r="E8" s="2">
        <f>SUMPRODUCT(('Benchmark-Runs'!$X$2:$X$161=A8&amp;"_"&amp;B8)*('Benchmark-Runs'!$W$2:$W$161))/COUNTIF('Benchmark-Runs'!$X$2:$X$161,A8&amp;"_"&amp;B8)</f>
        <v>73.333333333333329</v>
      </c>
      <c r="F8" s="2">
        <f>IFERROR(SQRT(SUMPRODUCT(('Benchmark-Runs'!$X$2:$X$161=A8&amp;"_"&amp;B8)*('Benchmark-Runs'!$W$2:$W$161)^2)/COUNTIF('Benchmark-Runs'!$X$2:$X$161,A8&amp;"_"&amp;B8)-(SUMPRODUCT(('Benchmark-Runs'!$X$2:$X$161=A8&amp;"_"&amp;B8)*('Benchmark-Runs'!$W$2:$W$161))/COUNTIF('Benchmark-Runs'!$X$2:$X$161,A8&amp;"_"&amp;B8))^2),0)</f>
        <v>13.333333333333318</v>
      </c>
      <c r="G8" s="2">
        <f>_xlfn.SINGLE(_xlfn.MINIFS('Benchmark-Runs'!$W$2:$W$161,'Benchmark-Runs'!$X$2:$X$161,A8&amp;"_"&amp;B8))</f>
        <v>66.666666666666657</v>
      </c>
      <c r="H8" s="2">
        <f>_xlfn.SINGLE(_xlfn.MAXIFS('Benchmark-Runs'!$W$2:$W$161,'Benchmark-Runs'!$X$2:$X$161,A8&amp;"_"&amp;B8))</f>
        <v>100</v>
      </c>
      <c r="I8" s="2">
        <f>SUMPRODUCT(('Benchmark-Runs'!$X$2:$X$161=A8&amp;"_"&amp;B8)*('Benchmark-Runs'!$F$2:$F$161))/COUNTIF('Benchmark-Runs'!$X$2:$X$161,A8&amp;"_"&amp;B8)</f>
        <v>3.9115999999999995E-3</v>
      </c>
      <c r="J8" s="2">
        <f>SUMPRODUCT(('Benchmark-Runs'!$X$2:$X$161=A8&amp;"_"&amp;B8)*('Benchmark-Runs'!$F$2:$F$161))</f>
        <v>1.9557999999999999E-2</v>
      </c>
      <c r="K8" s="2">
        <f>SUMPRODUCT(('Benchmark-Runs'!$X$2:$X$161=A8&amp;"_"&amp;B8)*('Benchmark-Runs'!$E$2:$E$161))/COUNTIF('Benchmark-Runs'!$X$2:$X$161,A8&amp;"_"&amp;B8)</f>
        <v>14.092000000000002</v>
      </c>
      <c r="L8" s="2">
        <f>SUMPRODUCT(('Benchmark-Runs'!$X$2:$X$161=A8&amp;"_"&amp;B8)*('Benchmark-Runs'!$I$2:$I$161))/COUNTIF('Benchmark-Runs'!$X$2:$X$161,A8&amp;"_"&amp;B8)</f>
        <v>23779.599999999999</v>
      </c>
      <c r="M8" s="2">
        <f>SUMPRODUCT(('Benchmark-Runs'!$X$2:$X$161=A8&amp;"_"&amp;B8)*('Benchmark-Runs'!$G$2:$G$161))/COUNTIF('Benchmark-Runs'!$X$2:$X$161,A8&amp;"_"&amp;B8)</f>
        <v>23014</v>
      </c>
      <c r="N8" s="2">
        <f>SUMPRODUCT(('Benchmark-Runs'!$X$2:$X$161=A8&amp;"_"&amp;B8)*('Benchmark-Runs'!$H$2:$H$161))/COUNTIF('Benchmark-Runs'!$X$2:$X$161,A8&amp;"_"&amp;B8)</f>
        <v>765.6</v>
      </c>
      <c r="O8" s="2">
        <f t="shared" si="0"/>
        <v>5.3339999999999994E-5</v>
      </c>
      <c r="P8" s="2">
        <f>COUNTIF('Benchmark-Runs'!$X$2:$X$161,A8&amp;"_"&amp;B8)</f>
        <v>5</v>
      </c>
      <c r="Q8" s="4">
        <f>IFERROR(SUMPRODUCT(('Benchmark-Runs'!$X$2:$X$161=A8&amp;"_"&amp;B8)*('Benchmark-Runs'!$V$2:$V$161))/COUNTIF('Benchmark-Runs'!$X$2:$X$161,A8&amp;"_"&amp;B8),"-")</f>
        <v>3</v>
      </c>
    </row>
    <row r="9" spans="1:17" x14ac:dyDescent="0.25">
      <c r="A9" s="3" t="s">
        <v>49</v>
      </c>
      <c r="B9" s="2" t="s">
        <v>56</v>
      </c>
      <c r="C9" s="2" t="str">
        <f>_xlfn.XLOOKUP(Tabelle2[[#This Row],[Config]],Tabelle2!$A$1:$A$8,Tabelle2!$B$1:$B$8)</f>
        <v>P2</v>
      </c>
      <c r="D9" s="2" t="str">
        <f>Tabelle2[[#This Row],[Model]] &amp; " | " &amp; Tabelle2[[#This Row],[Spalte2]]</f>
        <v>gpt-5-nano | P2</v>
      </c>
      <c r="E9" s="2">
        <f>SUMPRODUCT(('Benchmark-Runs'!$X$2:$X$161=A9&amp;"_"&amp;B9)*('Benchmark-Runs'!$W$2:$W$161))/COUNTIF('Benchmark-Runs'!$X$2:$X$161,A9&amp;"_"&amp;B9)</f>
        <v>86.666666666666657</v>
      </c>
      <c r="F9" s="2">
        <f>IFERROR(SQRT(SUMPRODUCT(('Benchmark-Runs'!$X$2:$X$161=A9&amp;"_"&amp;B9)*('Benchmark-Runs'!$W$2:$W$161)^2)/COUNTIF('Benchmark-Runs'!$X$2:$X$161,A9&amp;"_"&amp;B9)-(SUMPRODUCT(('Benchmark-Runs'!$X$2:$X$161=A9&amp;"_"&amp;B9)*('Benchmark-Runs'!$W$2:$W$161))/COUNTIF('Benchmark-Runs'!$X$2:$X$161,A9&amp;"_"&amp;B9))^2),0)</f>
        <v>16.329931618554586</v>
      </c>
      <c r="G9" s="2">
        <f>_xlfn.SINGLE(_xlfn.MINIFS('Benchmark-Runs'!$W$2:$W$161,'Benchmark-Runs'!$X$2:$X$161,A9&amp;"_"&amp;B9))</f>
        <v>66.666666666666657</v>
      </c>
      <c r="H9" s="2">
        <f>_xlfn.SINGLE(_xlfn.MAXIFS('Benchmark-Runs'!$W$2:$W$161,'Benchmark-Runs'!$X$2:$X$161,A9&amp;"_"&amp;B9))</f>
        <v>100</v>
      </c>
      <c r="I9" s="2">
        <f>SUMPRODUCT(('Benchmark-Runs'!$X$2:$X$161=A9&amp;"_"&amp;B9)*('Benchmark-Runs'!$F$2:$F$161))/COUNTIF('Benchmark-Runs'!$X$2:$X$161,A9&amp;"_"&amp;B9)</f>
        <v>4.7094000000000007E-3</v>
      </c>
      <c r="J9" s="2">
        <f>SUMPRODUCT(('Benchmark-Runs'!$X$2:$X$161=A9&amp;"_"&amp;B9)*('Benchmark-Runs'!$F$2:$F$161))</f>
        <v>2.3547000000000002E-2</v>
      </c>
      <c r="K9" s="2">
        <f>SUMPRODUCT(('Benchmark-Runs'!$X$2:$X$161=A9&amp;"_"&amp;B9)*('Benchmark-Runs'!$E$2:$E$161))/COUNTIF('Benchmark-Runs'!$X$2:$X$161,A9&amp;"_"&amp;B9)</f>
        <v>59.898000000000003</v>
      </c>
      <c r="L9" s="2">
        <f>SUMPRODUCT(('Benchmark-Runs'!$X$2:$X$161=A9&amp;"_"&amp;B9)*('Benchmark-Runs'!$I$2:$I$161))/COUNTIF('Benchmark-Runs'!$X$2:$X$161,A9&amp;"_"&amp;B9)</f>
        <v>31910.400000000001</v>
      </c>
      <c r="M9" s="2">
        <f>SUMPRODUCT(('Benchmark-Runs'!$X$2:$X$161=A9&amp;"_"&amp;B9)*('Benchmark-Runs'!$G$2:$G$161))/COUNTIF('Benchmark-Runs'!$X$2:$X$161,A9&amp;"_"&amp;B9)</f>
        <v>23013</v>
      </c>
      <c r="N9" s="2">
        <f>SUMPRODUCT(('Benchmark-Runs'!$X$2:$X$161=A9&amp;"_"&amp;B9)*('Benchmark-Runs'!$H$2:$H$161))/COUNTIF('Benchmark-Runs'!$X$2:$X$161,A9&amp;"_"&amp;B9)</f>
        <v>8897.4</v>
      </c>
      <c r="O9" s="2">
        <f t="shared" si="0"/>
        <v>5.4339230769230781E-5</v>
      </c>
      <c r="P9" s="2">
        <f>COUNTIF('Benchmark-Runs'!$X$2:$X$161,A9&amp;"_"&amp;B9)</f>
        <v>5</v>
      </c>
      <c r="Q9" s="4">
        <f>IFERROR(SUMPRODUCT(('Benchmark-Runs'!$X$2:$X$161=A9&amp;"_"&amp;B9)*('Benchmark-Runs'!$V$2:$V$161))/COUNTIF('Benchmark-Runs'!$X$2:$X$161,A9&amp;"_"&amp;B9),"-")</f>
        <v>3</v>
      </c>
    </row>
    <row r="10" spans="1:17" x14ac:dyDescent="0.25">
      <c r="A10" s="3" t="s">
        <v>49</v>
      </c>
      <c r="B10" s="2" t="s">
        <v>48</v>
      </c>
      <c r="C10" s="2" t="str">
        <f>_xlfn.XLOOKUP(Tabelle2[[#This Row],[Config]],Tabelle2!$A$1:$A$8,Tabelle2!$B$1:$B$8)</f>
        <v>P8</v>
      </c>
      <c r="D10" s="2" t="str">
        <f>Tabelle2[[#This Row],[Model]] &amp; " | " &amp; Tabelle2[[#This Row],[Spalte2]]</f>
        <v>gpt-5-nano | P8</v>
      </c>
      <c r="E10" s="2">
        <f>SUMPRODUCT(('Benchmark-Runs'!$X$2:$X$161=A10&amp;"_"&amp;B10)*('Benchmark-Runs'!$W$2:$W$161))/COUNTIF('Benchmark-Runs'!$X$2:$X$161,A10&amp;"_"&amp;B10)</f>
        <v>66.666666666666657</v>
      </c>
      <c r="F10" s="2">
        <f>IFERROR(SQRT(SUMPRODUCT(('Benchmark-Runs'!$X$2:$X$161=A10&amp;"_"&amp;B10)*('Benchmark-Runs'!$W$2:$W$161)^2)/COUNTIF('Benchmark-Runs'!$X$2:$X$161,A10&amp;"_"&amp;B10)-(SUMPRODUCT(('Benchmark-Runs'!$X$2:$X$161=A10&amp;"_"&amp;B10)*('Benchmark-Runs'!$W$2:$W$161))/COUNTIF('Benchmark-Runs'!$X$2:$X$161,A10&amp;"_"&amp;B10))^2),0)</f>
        <v>21.081851067789216</v>
      </c>
      <c r="G10" s="2">
        <f>_xlfn.SINGLE(_xlfn.MINIFS('Benchmark-Runs'!$W$2:$W$161,'Benchmark-Runs'!$X$2:$X$161,A10&amp;"_"&amp;B10))</f>
        <v>33.333333333333329</v>
      </c>
      <c r="H10" s="2">
        <f>_xlfn.SINGLE(_xlfn.MAXIFS('Benchmark-Runs'!$W$2:$W$161,'Benchmark-Runs'!$X$2:$X$161,A10&amp;"_"&amp;B10))</f>
        <v>100</v>
      </c>
      <c r="I10" s="2">
        <f>SUMPRODUCT(('Benchmark-Runs'!$X$2:$X$161=A10&amp;"_"&amp;B10)*('Benchmark-Runs'!$F$2:$F$161))/COUNTIF('Benchmark-Runs'!$X$2:$X$161,A10&amp;"_"&amp;B10)</f>
        <v>4.8608000000000002E-3</v>
      </c>
      <c r="J10" s="2">
        <f>SUMPRODUCT(('Benchmark-Runs'!$X$2:$X$161=A10&amp;"_"&amp;B10)*('Benchmark-Runs'!$F$2:$F$161))</f>
        <v>2.4303999999999999E-2</v>
      </c>
      <c r="K10" s="2">
        <f>SUMPRODUCT(('Benchmark-Runs'!$X$2:$X$161=A10&amp;"_"&amp;B10)*('Benchmark-Runs'!$E$2:$E$161))/COUNTIF('Benchmark-Runs'!$X$2:$X$161,A10&amp;"_"&amp;B10)</f>
        <v>124.66600000000001</v>
      </c>
      <c r="L10" s="2">
        <f>SUMPRODUCT(('Benchmark-Runs'!$X$2:$X$161=A10&amp;"_"&amp;B10)*('Benchmark-Runs'!$I$2:$I$161))/COUNTIF('Benchmark-Runs'!$X$2:$X$161,A10&amp;"_"&amp;B10)</f>
        <v>16017.8</v>
      </c>
      <c r="M10" s="2">
        <f>SUMPRODUCT(('Benchmark-Runs'!$X$2:$X$161=A10&amp;"_"&amp;B10)*('Benchmark-Runs'!$G$2:$G$161))/COUNTIF('Benchmark-Runs'!$X$2:$X$161,A10&amp;"_"&amp;B10)</f>
        <v>4418</v>
      </c>
      <c r="N10" s="2">
        <f>SUMPRODUCT(('Benchmark-Runs'!$X$2:$X$161=A10&amp;"_"&amp;B10)*('Benchmark-Runs'!$H$2:$H$161))/COUNTIF('Benchmark-Runs'!$X$2:$X$161,A10&amp;"_"&amp;B10)</f>
        <v>11599.8</v>
      </c>
      <c r="O10" s="2">
        <f t="shared" si="0"/>
        <v>7.2912000000000009E-5</v>
      </c>
      <c r="P10" s="2">
        <f>COUNTIF('Benchmark-Runs'!$X$2:$X$161,A10&amp;"_"&amp;B10)</f>
        <v>5</v>
      </c>
      <c r="Q10" s="4">
        <f>IFERROR(SUMPRODUCT(('Benchmark-Runs'!$X$2:$X$161=A10&amp;"_"&amp;B10)*('Benchmark-Runs'!$V$2:$V$161))/COUNTIF('Benchmark-Runs'!$X$2:$X$161,A10&amp;"_"&amp;B10),"-")</f>
        <v>3</v>
      </c>
    </row>
    <row r="11" spans="1:17" x14ac:dyDescent="0.25">
      <c r="A11" s="3" t="s">
        <v>49</v>
      </c>
      <c r="B11" s="2" t="s">
        <v>41</v>
      </c>
      <c r="C11" s="2" t="str">
        <f>_xlfn.XLOOKUP(Tabelle2[[#This Row],[Config]],Tabelle2!$A$1:$A$8,Tabelle2!$B$1:$B$8)</f>
        <v>P5</v>
      </c>
      <c r="D11" s="2" t="str">
        <f>Tabelle2[[#This Row],[Model]] &amp; " | " &amp; Tabelle2[[#This Row],[Spalte2]]</f>
        <v>gpt-5-nano | P5</v>
      </c>
      <c r="E11" s="2">
        <f>SUMPRODUCT(('Benchmark-Runs'!$X$2:$X$161=A11&amp;"_"&amp;B11)*('Benchmark-Runs'!$W$2:$W$161))/COUNTIF('Benchmark-Runs'!$X$2:$X$161,A11&amp;"_"&amp;B11)</f>
        <v>53.333333333333329</v>
      </c>
      <c r="F11" s="2">
        <f>IFERROR(SQRT(SUMPRODUCT(('Benchmark-Runs'!$X$2:$X$161=A11&amp;"_"&amp;B11)*('Benchmark-Runs'!$W$2:$W$161)^2)/COUNTIF('Benchmark-Runs'!$X$2:$X$161,A11&amp;"_"&amp;B11)-(SUMPRODUCT(('Benchmark-Runs'!$X$2:$X$161=A11&amp;"_"&amp;B11)*('Benchmark-Runs'!$W$2:$W$161))/COUNTIF('Benchmark-Runs'!$X$2:$X$161,A11&amp;"_"&amp;B11))^2),0)</f>
        <v>16.329931618554514</v>
      </c>
      <c r="G11" s="2">
        <f>_xlfn.SINGLE(_xlfn.MINIFS('Benchmark-Runs'!$W$2:$W$161,'Benchmark-Runs'!$X$2:$X$161,A11&amp;"_"&amp;B11))</f>
        <v>33.333333333333329</v>
      </c>
      <c r="H11" s="2">
        <f>_xlfn.SINGLE(_xlfn.MAXIFS('Benchmark-Runs'!$W$2:$W$161,'Benchmark-Runs'!$X$2:$X$161,A11&amp;"_"&amp;B11))</f>
        <v>66.666666666666657</v>
      </c>
      <c r="I11" s="2">
        <f>SUMPRODUCT(('Benchmark-Runs'!$X$2:$X$161=A11&amp;"_"&amp;B11)*('Benchmark-Runs'!$F$2:$F$161))/COUNTIF('Benchmark-Runs'!$X$2:$X$161,A11&amp;"_"&amp;B11)</f>
        <v>5.4663999999999997E-3</v>
      </c>
      <c r="J11" s="2">
        <f>SUMPRODUCT(('Benchmark-Runs'!$X$2:$X$161=A11&amp;"_"&amp;B11)*('Benchmark-Runs'!$F$2:$F$161))</f>
        <v>2.7331999999999999E-2</v>
      </c>
      <c r="K11" s="2">
        <f>SUMPRODUCT(('Benchmark-Runs'!$X$2:$X$161=A11&amp;"_"&amp;B11)*('Benchmark-Runs'!$E$2:$E$161))/COUNTIF('Benchmark-Runs'!$X$2:$X$161,A11&amp;"_"&amp;B11)</f>
        <v>147.83599999999998</v>
      </c>
      <c r="L11" s="2">
        <f>SUMPRODUCT(('Benchmark-Runs'!$X$2:$X$161=A11&amp;"_"&amp;B11)*('Benchmark-Runs'!$I$2:$I$161))/COUNTIF('Benchmark-Runs'!$X$2:$X$161,A11&amp;"_"&amp;B11)</f>
        <v>33802.6</v>
      </c>
      <c r="M11" s="2">
        <f>SUMPRODUCT(('Benchmark-Runs'!$X$2:$X$161=A11&amp;"_"&amp;B11)*('Benchmark-Runs'!$G$2:$G$161))/COUNTIF('Benchmark-Runs'!$X$2:$X$161,A11&amp;"_"&amp;B11)</f>
        <v>23013</v>
      </c>
      <c r="N11" s="2">
        <f>SUMPRODUCT(('Benchmark-Runs'!$X$2:$X$161=A11&amp;"_"&amp;B11)*('Benchmark-Runs'!$H$2:$H$161))/COUNTIF('Benchmark-Runs'!$X$2:$X$161,A11&amp;"_"&amp;B11)</f>
        <v>10789.6</v>
      </c>
      <c r="O11" s="2">
        <f t="shared" si="0"/>
        <v>1.02495E-4</v>
      </c>
      <c r="P11" s="2">
        <f>COUNTIF('Benchmark-Runs'!$X$2:$X$161,A11&amp;"_"&amp;B11)</f>
        <v>5</v>
      </c>
      <c r="Q11" s="4">
        <f>IFERROR(SUMPRODUCT(('Benchmark-Runs'!$X$2:$X$161=A11&amp;"_"&amp;B11)*('Benchmark-Runs'!$V$2:$V$161))/COUNTIF('Benchmark-Runs'!$X$2:$X$161,A11&amp;"_"&amp;B11),"-")</f>
        <v>3</v>
      </c>
    </row>
    <row r="12" spans="1:17" x14ac:dyDescent="0.25">
      <c r="A12" s="3" t="s">
        <v>49</v>
      </c>
      <c r="B12" s="2" t="s">
        <v>57</v>
      </c>
      <c r="C12" s="2" t="str">
        <f>_xlfn.XLOOKUP(Tabelle2[[#This Row],[Config]],Tabelle2!$A$1:$A$8,Tabelle2!$B$1:$B$8)</f>
        <v>P3</v>
      </c>
      <c r="D12" s="2" t="str">
        <f>Tabelle2[[#This Row],[Model]] &amp; " | " &amp; Tabelle2[[#This Row],[Spalte2]]</f>
        <v>gpt-5-nano | P3</v>
      </c>
      <c r="E12" s="2">
        <f>SUMPRODUCT(('Benchmark-Runs'!$X$2:$X$161=A12&amp;"_"&amp;B12)*('Benchmark-Runs'!$W$2:$W$161))/COUNTIF('Benchmark-Runs'!$X$2:$X$161,A12&amp;"_"&amp;B12)</f>
        <v>80</v>
      </c>
      <c r="F12" s="2">
        <f>IFERROR(SQRT(SUMPRODUCT(('Benchmark-Runs'!$X$2:$X$161=A12&amp;"_"&amp;B12)*('Benchmark-Runs'!$W$2:$W$161)^2)/COUNTIF('Benchmark-Runs'!$X$2:$X$161,A12&amp;"_"&amp;B12)-(SUMPRODUCT(('Benchmark-Runs'!$X$2:$X$161=A12&amp;"_"&amp;B12)*('Benchmark-Runs'!$W$2:$W$161))/COUNTIF('Benchmark-Runs'!$X$2:$X$161,A12&amp;"_"&amp;B12))^2),0)</f>
        <v>26.666666666666671</v>
      </c>
      <c r="G12" s="2">
        <f>_xlfn.SINGLE(_xlfn.MINIFS('Benchmark-Runs'!$W$2:$W$161,'Benchmark-Runs'!$X$2:$X$161,A12&amp;"_"&amp;B12))</f>
        <v>33.333333333333329</v>
      </c>
      <c r="H12" s="2">
        <f>_xlfn.SINGLE(_xlfn.MAXIFS('Benchmark-Runs'!$W$2:$W$161,'Benchmark-Runs'!$X$2:$X$161,A12&amp;"_"&amp;B12))</f>
        <v>100</v>
      </c>
      <c r="I12" s="2">
        <f>SUMPRODUCT(('Benchmark-Runs'!$X$2:$X$161=A12&amp;"_"&amp;B12)*('Benchmark-Runs'!$F$2:$F$161))/COUNTIF('Benchmark-Runs'!$X$2:$X$161,A12&amp;"_"&amp;B12)</f>
        <v>9.177600000000001E-3</v>
      </c>
      <c r="J12" s="2">
        <f>SUMPRODUCT(('Benchmark-Runs'!$X$2:$X$161=A12&amp;"_"&amp;B12)*('Benchmark-Runs'!$F$2:$F$161))</f>
        <v>4.5888000000000005E-2</v>
      </c>
      <c r="K12" s="2">
        <f>SUMPRODUCT(('Benchmark-Runs'!$X$2:$X$161=A12&amp;"_"&amp;B12)*('Benchmark-Runs'!$E$2:$E$161))/COUNTIF('Benchmark-Runs'!$X$2:$X$161,A12&amp;"_"&amp;B12)</f>
        <v>176.25399999999999</v>
      </c>
      <c r="L12" s="2">
        <f>SUMPRODUCT(('Benchmark-Runs'!$X$2:$X$161=A12&amp;"_"&amp;B12)*('Benchmark-Runs'!$I$2:$I$161))/COUNTIF('Benchmark-Runs'!$X$2:$X$161,A12&amp;"_"&amp;B12)</f>
        <v>28693.599999999999</v>
      </c>
      <c r="M12" s="2">
        <f>SUMPRODUCT(('Benchmark-Runs'!$X$2:$X$161=A12&amp;"_"&amp;B12)*('Benchmark-Runs'!$G$2:$G$161))/COUNTIF('Benchmark-Runs'!$X$2:$X$161,A12&amp;"_"&amp;B12)</f>
        <v>6571</v>
      </c>
      <c r="N12" s="2">
        <f>SUMPRODUCT(('Benchmark-Runs'!$X$2:$X$161=A12&amp;"_"&amp;B12)*('Benchmark-Runs'!$H$2:$H$161))/COUNTIF('Benchmark-Runs'!$X$2:$X$161,A12&amp;"_"&amp;B12)</f>
        <v>22122.6</v>
      </c>
      <c r="O12" s="2">
        <f t="shared" si="0"/>
        <v>1.1472000000000001E-4</v>
      </c>
      <c r="P12" s="2">
        <f>COUNTIF('Benchmark-Runs'!$X$2:$X$161,A12&amp;"_"&amp;B12)</f>
        <v>5</v>
      </c>
      <c r="Q12" s="4">
        <f>IFERROR(SUMPRODUCT(('Benchmark-Runs'!$X$2:$X$161=A12&amp;"_"&amp;B12)*('Benchmark-Runs'!$V$2:$V$161))/COUNTIF('Benchmark-Runs'!$X$2:$X$161,A12&amp;"_"&amp;B12),"-")</f>
        <v>3</v>
      </c>
    </row>
    <row r="13" spans="1:17" x14ac:dyDescent="0.25">
      <c r="A13" s="3" t="s">
        <v>49</v>
      </c>
      <c r="B13" s="2" t="s">
        <v>44</v>
      </c>
      <c r="C13" s="2" t="str">
        <f>_xlfn.XLOOKUP(Tabelle2[[#This Row],[Config]],Tabelle2!$A$1:$A$8,Tabelle2!$B$1:$B$8)</f>
        <v>P6</v>
      </c>
      <c r="D13" s="2" t="str">
        <f>Tabelle2[[#This Row],[Model]] &amp; " | " &amp; Tabelle2[[#This Row],[Spalte2]]</f>
        <v>gpt-5-nano | P6</v>
      </c>
      <c r="E13" s="2">
        <f>SUMPRODUCT(('Benchmark-Runs'!$X$2:$X$161=A13&amp;"_"&amp;B13)*('Benchmark-Runs'!$W$2:$W$161))/COUNTIF('Benchmark-Runs'!$X$2:$X$161,A13&amp;"_"&amp;B13)</f>
        <v>66.666666666666657</v>
      </c>
      <c r="F13" s="2">
        <f>IFERROR(SQRT(SUMPRODUCT(('Benchmark-Runs'!$X$2:$X$161=A13&amp;"_"&amp;B13)*('Benchmark-Runs'!$W$2:$W$161)^2)/COUNTIF('Benchmark-Runs'!$X$2:$X$161,A13&amp;"_"&amp;B13)-(SUMPRODUCT(('Benchmark-Runs'!$X$2:$X$161=A13&amp;"_"&amp;B13)*('Benchmark-Runs'!$W$2:$W$161))/COUNTIF('Benchmark-Runs'!$X$2:$X$161,A13&amp;"_"&amp;B13))^2),0)</f>
        <v>0</v>
      </c>
      <c r="G13" s="2">
        <f>_xlfn.SINGLE(_xlfn.MINIFS('Benchmark-Runs'!$W$2:$W$161,'Benchmark-Runs'!$X$2:$X$161,A13&amp;"_"&amp;B13))</f>
        <v>66.666666666666657</v>
      </c>
      <c r="H13" s="2">
        <f>_xlfn.SINGLE(_xlfn.MAXIFS('Benchmark-Runs'!$W$2:$W$161,'Benchmark-Runs'!$X$2:$X$161,A13&amp;"_"&amp;B13))</f>
        <v>66.666666666666657</v>
      </c>
      <c r="I13" s="2">
        <f>SUMPRODUCT(('Benchmark-Runs'!$X$2:$X$161=A13&amp;"_"&amp;B13)*('Benchmark-Runs'!$F$2:$F$161))/COUNTIF('Benchmark-Runs'!$X$2:$X$161,A13&amp;"_"&amp;B13)</f>
        <v>8.6820000000000005E-3</v>
      </c>
      <c r="J13" s="2">
        <f>SUMPRODUCT(('Benchmark-Runs'!$X$2:$X$161=A13&amp;"_"&amp;B13)*('Benchmark-Runs'!$F$2:$F$161))</f>
        <v>4.3410000000000004E-2</v>
      </c>
      <c r="K13" s="2">
        <f>SUMPRODUCT(('Benchmark-Runs'!$X$2:$X$161=A13&amp;"_"&amp;B13)*('Benchmark-Runs'!$E$2:$E$161))/COUNTIF('Benchmark-Runs'!$X$2:$X$161,A13&amp;"_"&amp;B13)</f>
        <v>197.20400000000001</v>
      </c>
      <c r="L13" s="2">
        <f>SUMPRODUCT(('Benchmark-Runs'!$X$2:$X$161=A13&amp;"_"&amp;B13)*('Benchmark-Runs'!$I$2:$I$161))/COUNTIF('Benchmark-Runs'!$X$2:$X$161,A13&amp;"_"&amp;B13)</f>
        <v>27454.799999999999</v>
      </c>
      <c r="M13" s="2">
        <f>SUMPRODUCT(('Benchmark-Runs'!$X$2:$X$161=A13&amp;"_"&amp;B13)*('Benchmark-Runs'!$G$2:$G$161))/COUNTIF('Benchmark-Runs'!$X$2:$X$161,A13&amp;"_"&amp;B13)</f>
        <v>6571</v>
      </c>
      <c r="N13" s="2">
        <f>SUMPRODUCT(('Benchmark-Runs'!$X$2:$X$161=A13&amp;"_"&amp;B13)*('Benchmark-Runs'!$H$2:$H$161))/COUNTIF('Benchmark-Runs'!$X$2:$X$161,A13&amp;"_"&amp;B13)</f>
        <v>20883.8</v>
      </c>
      <c r="O13" s="2">
        <f t="shared" si="0"/>
        <v>1.3023000000000003E-4</v>
      </c>
      <c r="P13" s="2">
        <f>COUNTIF('Benchmark-Runs'!$X$2:$X$161,A13&amp;"_"&amp;B13)</f>
        <v>5</v>
      </c>
      <c r="Q13" s="4">
        <f>IFERROR(SUMPRODUCT(('Benchmark-Runs'!$X$2:$X$161=A13&amp;"_"&amp;B13)*('Benchmark-Runs'!$V$2:$V$161))/COUNTIF('Benchmark-Runs'!$X$2:$X$161,A13&amp;"_"&amp;B13),"-")</f>
        <v>3</v>
      </c>
    </row>
    <row r="14" spans="1:17" x14ac:dyDescent="0.25">
      <c r="A14" s="3" t="s">
        <v>49</v>
      </c>
      <c r="B14" s="2" t="s">
        <v>47</v>
      </c>
      <c r="C14" s="2" t="str">
        <f>_xlfn.XLOOKUP(Tabelle2[[#This Row],[Config]],Tabelle2!$A$1:$A$8,Tabelle2!$B$1:$B$8)</f>
        <v>P1</v>
      </c>
      <c r="D14" s="2" t="str">
        <f>Tabelle2[[#This Row],[Model]] &amp; " | " &amp; Tabelle2[[#This Row],[Spalte2]]</f>
        <v>gpt-5-nano | P1</v>
      </c>
      <c r="E14" s="2">
        <f>SUMPRODUCT(('Benchmark-Runs'!$X$2:$X$161=A14&amp;"_"&amp;B14)*('Benchmark-Runs'!$W$2:$W$161))/COUNTIF('Benchmark-Runs'!$X$2:$X$161,A14&amp;"_"&amp;B14)</f>
        <v>100</v>
      </c>
      <c r="F14" s="2">
        <f>IFERROR(SQRT(SUMPRODUCT(('Benchmark-Runs'!$X$2:$X$161=A14&amp;"_"&amp;B14)*('Benchmark-Runs'!$W$2:$W$161)^2)/COUNTIF('Benchmark-Runs'!$X$2:$X$161,A14&amp;"_"&amp;B14)-(SUMPRODUCT(('Benchmark-Runs'!$X$2:$X$161=A14&amp;"_"&amp;B14)*('Benchmark-Runs'!$W$2:$W$161))/COUNTIF('Benchmark-Runs'!$X$2:$X$161,A14&amp;"_"&amp;B14))^2),0)</f>
        <v>0</v>
      </c>
      <c r="G14" s="2">
        <f>_xlfn.SINGLE(_xlfn.MINIFS('Benchmark-Runs'!$W$2:$W$161,'Benchmark-Runs'!$X$2:$X$161,A14&amp;"_"&amp;B14))</f>
        <v>100</v>
      </c>
      <c r="H14" s="2">
        <f>_xlfn.SINGLE(_xlfn.MAXIFS('Benchmark-Runs'!$W$2:$W$161,'Benchmark-Runs'!$X$2:$X$161,A14&amp;"_"&amp;B14))</f>
        <v>100</v>
      </c>
      <c r="I14" s="2">
        <f>SUMPRODUCT(('Benchmark-Runs'!$X$2:$X$161=A14&amp;"_"&amp;B14)*('Benchmark-Runs'!$F$2:$F$161))/COUNTIF('Benchmark-Runs'!$X$2:$X$161,A14&amp;"_"&amp;B14)</f>
        <v>1.3094E-2</v>
      </c>
      <c r="J14" s="2">
        <f>SUMPRODUCT(('Benchmark-Runs'!$X$2:$X$161=A14&amp;"_"&amp;B14)*('Benchmark-Runs'!$F$2:$F$161))</f>
        <v>6.547E-2</v>
      </c>
      <c r="K14" s="2">
        <f>SUMPRODUCT(('Benchmark-Runs'!$X$2:$X$161=A14&amp;"_"&amp;B14)*('Benchmark-Runs'!$E$2:$E$161))/COUNTIF('Benchmark-Runs'!$X$2:$X$161,A14&amp;"_"&amp;B14)</f>
        <v>155.66199999999998</v>
      </c>
      <c r="L14" s="2">
        <f>SUMPRODUCT(('Benchmark-Runs'!$X$2:$X$161=A14&amp;"_"&amp;B14)*('Benchmark-Runs'!$I$2:$I$161))/COUNTIF('Benchmark-Runs'!$X$2:$X$161,A14&amp;"_"&amp;B14)</f>
        <v>130777.60000000001</v>
      </c>
      <c r="M14" s="2">
        <f>SUMPRODUCT(('Benchmark-Runs'!$X$2:$X$161=A14&amp;"_"&amp;B14)*('Benchmark-Runs'!$G$2:$G$161))/COUNTIF('Benchmark-Runs'!$X$2:$X$161,A14&amp;"_"&amp;B14)</f>
        <v>112049</v>
      </c>
      <c r="N14" s="2">
        <f>SUMPRODUCT(('Benchmark-Runs'!$X$2:$X$161=A14&amp;"_"&amp;B14)*('Benchmark-Runs'!$H$2:$H$161))/COUNTIF('Benchmark-Runs'!$X$2:$X$161,A14&amp;"_"&amp;B14)</f>
        <v>18728.599999999999</v>
      </c>
      <c r="O14" s="2">
        <f t="shared" si="0"/>
        <v>1.3093999999999999E-4</v>
      </c>
      <c r="P14" s="2">
        <f>COUNTIF('Benchmark-Runs'!$X$2:$X$161,A14&amp;"_"&amp;B14)</f>
        <v>5</v>
      </c>
      <c r="Q14" s="4">
        <f>IFERROR(SUMPRODUCT(('Benchmark-Runs'!$X$2:$X$161=A14&amp;"_"&amp;B14)*('Benchmark-Runs'!$V$2:$V$161))/COUNTIF('Benchmark-Runs'!$X$2:$X$161,A14&amp;"_"&amp;B14),"-")</f>
        <v>3</v>
      </c>
    </row>
    <row r="15" spans="1:17" x14ac:dyDescent="0.25">
      <c r="A15" s="3" t="s">
        <v>42</v>
      </c>
      <c r="B15" s="2" t="s">
        <v>47</v>
      </c>
      <c r="C15" s="2" t="str">
        <f>_xlfn.XLOOKUP(Tabelle2[[#This Row],[Config]],Tabelle2!$A$1:$A$8,Tabelle2!$B$1:$B$8)</f>
        <v>P1</v>
      </c>
      <c r="D15" s="2" t="str">
        <f>Tabelle2[[#This Row],[Model]] &amp; " | " &amp; Tabelle2[[#This Row],[Spalte2]]</f>
        <v>gpt-4o-mini | P1</v>
      </c>
      <c r="E15" s="2">
        <f>SUMPRODUCT(('Benchmark-Runs'!$X$2:$X$161=A15&amp;"_"&amp;B15)*('Benchmark-Runs'!$W$2:$W$161))/COUNTIF('Benchmark-Runs'!$X$2:$X$161,A15&amp;"_"&amp;B15)</f>
        <v>100</v>
      </c>
      <c r="F15" s="2">
        <f>IFERROR(SQRT(SUMPRODUCT(('Benchmark-Runs'!$X$2:$X$161=A15&amp;"_"&amp;B15)*('Benchmark-Runs'!$W$2:$W$161)^2)/COUNTIF('Benchmark-Runs'!$X$2:$X$161,A15&amp;"_"&amp;B15)-(SUMPRODUCT(('Benchmark-Runs'!$X$2:$X$161=A15&amp;"_"&amp;B15)*('Benchmark-Runs'!$W$2:$W$161))/COUNTIF('Benchmark-Runs'!$X$2:$X$161,A15&amp;"_"&amp;B15))^2),0)</f>
        <v>0</v>
      </c>
      <c r="G15" s="2">
        <f>_xlfn.SINGLE(_xlfn.MINIFS('Benchmark-Runs'!$W$2:$W$161,'Benchmark-Runs'!$X$2:$X$161,A15&amp;"_"&amp;B15))</f>
        <v>100</v>
      </c>
      <c r="H15" s="2">
        <f>_xlfn.SINGLE(_xlfn.MAXIFS('Benchmark-Runs'!$W$2:$W$161,'Benchmark-Runs'!$X$2:$X$161,A15&amp;"_"&amp;B15))</f>
        <v>100</v>
      </c>
      <c r="I15" s="2">
        <f>SUMPRODUCT(('Benchmark-Runs'!$X$2:$X$161=A15&amp;"_"&amp;B15)*('Benchmark-Runs'!$F$2:$F$161))/COUNTIF('Benchmark-Runs'!$X$2:$X$161,A15&amp;"_"&amp;B15)</f>
        <v>1.7584200000000001E-2</v>
      </c>
      <c r="J15" s="2">
        <f>SUMPRODUCT(('Benchmark-Runs'!$X$2:$X$161=A15&amp;"_"&amp;B15)*('Benchmark-Runs'!$F$2:$F$161))</f>
        <v>8.7920999999999999E-2</v>
      </c>
      <c r="K15" s="2">
        <f>SUMPRODUCT(('Benchmark-Runs'!$X$2:$X$161=A15&amp;"_"&amp;B15)*('Benchmark-Runs'!$E$2:$E$161))/COUNTIF('Benchmark-Runs'!$X$2:$X$161,A15&amp;"_"&amp;B15)</f>
        <v>28.661999999999999</v>
      </c>
      <c r="L15" s="2">
        <f>SUMPRODUCT(('Benchmark-Runs'!$X$2:$X$161=A15&amp;"_"&amp;B15)*('Benchmark-Runs'!$I$2:$I$161))/COUNTIF('Benchmark-Runs'!$X$2:$X$161,A15&amp;"_"&amp;B15)</f>
        <v>113347.8</v>
      </c>
      <c r="M15" s="2">
        <f>SUMPRODUCT(('Benchmark-Runs'!$X$2:$X$161=A15&amp;"_"&amp;B15)*('Benchmark-Runs'!$G$2:$G$161))/COUNTIF('Benchmark-Runs'!$X$2:$X$161,A15&amp;"_"&amp;B15)</f>
        <v>112054</v>
      </c>
      <c r="N15" s="2">
        <f>SUMPRODUCT(('Benchmark-Runs'!$X$2:$X$161=A15&amp;"_"&amp;B15)*('Benchmark-Runs'!$H$2:$H$161))/COUNTIF('Benchmark-Runs'!$X$2:$X$161,A15&amp;"_"&amp;B15)</f>
        <v>1293.8</v>
      </c>
      <c r="O15" s="2">
        <f t="shared" si="0"/>
        <v>1.75842E-4</v>
      </c>
      <c r="P15" s="2">
        <f>COUNTIF('Benchmark-Runs'!$X$2:$X$161,A15&amp;"_"&amp;B15)</f>
        <v>5</v>
      </c>
      <c r="Q15" s="4">
        <f>IFERROR(SUMPRODUCT(('Benchmark-Runs'!$X$2:$X$161=A15&amp;"_"&amp;B15)*('Benchmark-Runs'!$V$2:$V$161))/COUNTIF('Benchmark-Runs'!$X$2:$X$161,A15&amp;"_"&amp;B15),"-")</f>
        <v>3</v>
      </c>
    </row>
    <row r="16" spans="1:17" x14ac:dyDescent="0.25">
      <c r="A16" s="3" t="s">
        <v>52</v>
      </c>
      <c r="B16" s="2" t="s">
        <v>58</v>
      </c>
      <c r="C16" s="2" t="str">
        <f>_xlfn.XLOOKUP(Tabelle2[[#This Row],[Config]],Tabelle2!$A$1:$A$8,Tabelle2!$B$1:$B$8)</f>
        <v>P7</v>
      </c>
      <c r="D16" s="2" t="str">
        <f>Tabelle2[[#This Row],[Model]] &amp; " | " &amp; Tabelle2[[#This Row],[Spalte2]]</f>
        <v>gpt-5-chat | P7</v>
      </c>
      <c r="E16" s="2">
        <f>SUMPRODUCT(('Benchmark-Runs'!$X$2:$X$161=A16&amp;"_"&amp;B16)*('Benchmark-Runs'!$W$2:$W$161))/COUNTIF('Benchmark-Runs'!$X$2:$X$161,A16&amp;"_"&amp;B16)</f>
        <v>100</v>
      </c>
      <c r="F16" s="2">
        <f>IFERROR(SQRT(SUMPRODUCT(('Benchmark-Runs'!$X$2:$X$161=A16&amp;"_"&amp;B16)*('Benchmark-Runs'!$W$2:$W$161)^2)/COUNTIF('Benchmark-Runs'!$X$2:$X$161,A16&amp;"_"&amp;B16)-(SUMPRODUCT(('Benchmark-Runs'!$X$2:$X$161=A16&amp;"_"&amp;B16)*('Benchmark-Runs'!$W$2:$W$161))/COUNTIF('Benchmark-Runs'!$X$2:$X$161,A16&amp;"_"&amp;B16))^2),0)</f>
        <v>0</v>
      </c>
      <c r="G16" s="2">
        <f>_xlfn.SINGLE(_xlfn.MINIFS('Benchmark-Runs'!$W$2:$W$161,'Benchmark-Runs'!$X$2:$X$161,A16&amp;"_"&amp;B16))</f>
        <v>100</v>
      </c>
      <c r="H16" s="2">
        <f>_xlfn.SINGLE(_xlfn.MAXIFS('Benchmark-Runs'!$W$2:$W$161,'Benchmark-Runs'!$X$2:$X$161,A16&amp;"_"&amp;B16))</f>
        <v>100</v>
      </c>
      <c r="I16" s="2">
        <f>SUMPRODUCT(('Benchmark-Runs'!$X$2:$X$161=A16&amp;"_"&amp;B16)*('Benchmark-Runs'!$F$2:$F$161))/COUNTIF('Benchmark-Runs'!$X$2:$X$161,A16&amp;"_"&amp;B16)</f>
        <v>1.9652000000000003E-2</v>
      </c>
      <c r="J16" s="2">
        <f>SUMPRODUCT(('Benchmark-Runs'!$X$2:$X$161=A16&amp;"_"&amp;B16)*('Benchmark-Runs'!$F$2:$F$161))</f>
        <v>9.8260000000000014E-2</v>
      </c>
      <c r="K16" s="2">
        <f>SUMPRODUCT(('Benchmark-Runs'!$X$2:$X$161=A16&amp;"_"&amp;B16)*('Benchmark-Runs'!$E$2:$E$161))/COUNTIF('Benchmark-Runs'!$X$2:$X$161,A16&amp;"_"&amp;B16)</f>
        <v>12.73</v>
      </c>
      <c r="L16" s="2">
        <f>SUMPRODUCT(('Benchmark-Runs'!$X$2:$X$161=A16&amp;"_"&amp;B16)*('Benchmark-Runs'!$I$2:$I$161))/COUNTIF('Benchmark-Runs'!$X$2:$X$161,A16&amp;"_"&amp;B16)</f>
        <v>5831.8</v>
      </c>
      <c r="M16" s="2">
        <f>SUMPRODUCT(('Benchmark-Runs'!$X$2:$X$161=A16&amp;"_"&amp;B16)*('Benchmark-Runs'!$G$2:$G$161))/COUNTIF('Benchmark-Runs'!$X$2:$X$161,A16&amp;"_"&amp;B16)</f>
        <v>4419</v>
      </c>
      <c r="N16" s="2">
        <f>SUMPRODUCT(('Benchmark-Runs'!$X$2:$X$161=A16&amp;"_"&amp;B16)*('Benchmark-Runs'!$H$2:$H$161))/COUNTIF('Benchmark-Runs'!$X$2:$X$161,A16&amp;"_"&amp;B16)</f>
        <v>1412.8</v>
      </c>
      <c r="O16" s="2">
        <f t="shared" si="0"/>
        <v>1.9652000000000002E-4</v>
      </c>
      <c r="P16" s="2">
        <f>COUNTIF('Benchmark-Runs'!$X$2:$X$161,A16&amp;"_"&amp;B16)</f>
        <v>5</v>
      </c>
      <c r="Q16" s="4">
        <f>IFERROR(SUMPRODUCT(('Benchmark-Runs'!$X$2:$X$161=A16&amp;"_"&amp;B16)*('Benchmark-Runs'!$V$2:$V$161))/COUNTIF('Benchmark-Runs'!$X$2:$X$161,A16&amp;"_"&amp;B16),"-")</f>
        <v>3</v>
      </c>
    </row>
    <row r="17" spans="1:17" x14ac:dyDescent="0.25">
      <c r="A17" s="3" t="s">
        <v>42</v>
      </c>
      <c r="B17" s="2" t="s">
        <v>46</v>
      </c>
      <c r="C17" s="2" t="str">
        <f>_xlfn.XLOOKUP(Tabelle2[[#This Row],[Config]],Tabelle2!$A$1:$A$8,Tabelle2!$B$1:$B$8)</f>
        <v>P4</v>
      </c>
      <c r="D17" s="2" t="str">
        <f>Tabelle2[[#This Row],[Model]] &amp; " | " &amp; Tabelle2[[#This Row],[Spalte2]]</f>
        <v>gpt-4o-mini | P4</v>
      </c>
      <c r="E17" s="2">
        <f>SUMPRODUCT(('Benchmark-Runs'!$X$2:$X$161=A17&amp;"_"&amp;B17)*('Benchmark-Runs'!$W$2:$W$161))/COUNTIF('Benchmark-Runs'!$X$2:$X$161,A17&amp;"_"&amp;B17)</f>
        <v>86.666666666666657</v>
      </c>
      <c r="F17" s="2">
        <f>IFERROR(SQRT(SUMPRODUCT(('Benchmark-Runs'!$X$2:$X$161=A17&amp;"_"&amp;B17)*('Benchmark-Runs'!$W$2:$W$161)^2)/COUNTIF('Benchmark-Runs'!$X$2:$X$161,A17&amp;"_"&amp;B17)-(SUMPRODUCT(('Benchmark-Runs'!$X$2:$X$161=A17&amp;"_"&amp;B17)*('Benchmark-Runs'!$W$2:$W$161))/COUNTIF('Benchmark-Runs'!$X$2:$X$161,A17&amp;"_"&amp;B17))^2),0)</f>
        <v>16.329931618554586</v>
      </c>
      <c r="G17" s="2">
        <f>_xlfn.SINGLE(_xlfn.MINIFS('Benchmark-Runs'!$W$2:$W$161,'Benchmark-Runs'!$X$2:$X$161,A17&amp;"_"&amp;B17))</f>
        <v>66.666666666666657</v>
      </c>
      <c r="H17" s="2">
        <f>_xlfn.SINGLE(_xlfn.MAXIFS('Benchmark-Runs'!$W$2:$W$161,'Benchmark-Runs'!$X$2:$X$161,A17&amp;"_"&amp;B17))</f>
        <v>100</v>
      </c>
      <c r="I17" s="2">
        <f>SUMPRODUCT(('Benchmark-Runs'!$X$2:$X$161=A17&amp;"_"&amp;B17)*('Benchmark-Runs'!$F$2:$F$161))/COUNTIF('Benchmark-Runs'!$X$2:$X$161,A17&amp;"_"&amp;B17)</f>
        <v>1.7320000000000002E-2</v>
      </c>
      <c r="J17" s="2">
        <f>SUMPRODUCT(('Benchmark-Runs'!$X$2:$X$161=A17&amp;"_"&amp;B17)*('Benchmark-Runs'!$F$2:$F$161))</f>
        <v>8.660000000000001E-2</v>
      </c>
      <c r="K17" s="2">
        <f>SUMPRODUCT(('Benchmark-Runs'!$X$2:$X$161=A17&amp;"_"&amp;B17)*('Benchmark-Runs'!$E$2:$E$161))/COUNTIF('Benchmark-Runs'!$X$2:$X$161,A17&amp;"_"&amp;B17)</f>
        <v>20.664000000000001</v>
      </c>
      <c r="L17" s="2">
        <f>SUMPRODUCT(('Benchmark-Runs'!$X$2:$X$161=A17&amp;"_"&amp;B17)*('Benchmark-Runs'!$I$2:$I$161))/COUNTIF('Benchmark-Runs'!$X$2:$X$161,A17&amp;"_"&amp;B17)</f>
        <v>112907.2</v>
      </c>
      <c r="M17" s="2">
        <f>SUMPRODUCT(('Benchmark-Runs'!$X$2:$X$161=A17&amp;"_"&amp;B17)*('Benchmark-Runs'!$G$2:$G$161))/COUNTIF('Benchmark-Runs'!$X$2:$X$161,A17&amp;"_"&amp;B17)</f>
        <v>112054</v>
      </c>
      <c r="N17" s="2">
        <f>SUMPRODUCT(('Benchmark-Runs'!$X$2:$X$161=A17&amp;"_"&amp;B17)*('Benchmark-Runs'!$H$2:$H$161))/COUNTIF('Benchmark-Runs'!$X$2:$X$161,A17&amp;"_"&amp;B17)</f>
        <v>853.2</v>
      </c>
      <c r="O17" s="2">
        <f t="shared" si="0"/>
        <v>1.9984615384615389E-4</v>
      </c>
      <c r="P17" s="2">
        <f>COUNTIF('Benchmark-Runs'!$X$2:$X$161,A17&amp;"_"&amp;B17)</f>
        <v>5</v>
      </c>
      <c r="Q17" s="4">
        <f>IFERROR(SUMPRODUCT(('Benchmark-Runs'!$X$2:$X$161=A17&amp;"_"&amp;B17)*('Benchmark-Runs'!$V$2:$V$161))/COUNTIF('Benchmark-Runs'!$X$2:$X$161,A17&amp;"_"&amp;B17),"-")</f>
        <v>3</v>
      </c>
    </row>
    <row r="18" spans="1:17" x14ac:dyDescent="0.25">
      <c r="A18" s="3" t="s">
        <v>49</v>
      </c>
      <c r="B18" s="2" t="s">
        <v>46</v>
      </c>
      <c r="C18" s="2" t="str">
        <f>_xlfn.XLOOKUP(Tabelle2[[#This Row],[Config]],Tabelle2!$A$1:$A$8,Tabelle2!$B$1:$B$8)</f>
        <v>P4</v>
      </c>
      <c r="D18" s="2" t="str">
        <f>Tabelle2[[#This Row],[Model]] &amp; " | " &amp; Tabelle2[[#This Row],[Spalte2]]</f>
        <v>gpt-5-nano | P4</v>
      </c>
      <c r="E18" s="2">
        <f>SUMPRODUCT(('Benchmark-Runs'!$X$2:$X$161=A18&amp;"_"&amp;B18)*('Benchmark-Runs'!$W$2:$W$161))/COUNTIF('Benchmark-Runs'!$X$2:$X$161,A18&amp;"_"&amp;B18)</f>
        <v>60</v>
      </c>
      <c r="F18" s="2">
        <f>IFERROR(SQRT(SUMPRODUCT(('Benchmark-Runs'!$X$2:$X$161=A18&amp;"_"&amp;B18)*('Benchmark-Runs'!$W$2:$W$161)^2)/COUNTIF('Benchmark-Runs'!$X$2:$X$161,A18&amp;"_"&amp;B18)-(SUMPRODUCT(('Benchmark-Runs'!$X$2:$X$161=A18&amp;"_"&amp;B18)*('Benchmark-Runs'!$W$2:$W$161))/COUNTIF('Benchmark-Runs'!$X$2:$X$161,A18&amp;"_"&amp;B18))^2),0)</f>
        <v>13.333333333333284</v>
      </c>
      <c r="G18" s="2">
        <f>_xlfn.SINGLE(_xlfn.MINIFS('Benchmark-Runs'!$W$2:$W$161,'Benchmark-Runs'!$X$2:$X$161,A18&amp;"_"&amp;B18))</f>
        <v>33.333333333333329</v>
      </c>
      <c r="H18" s="2">
        <f>_xlfn.SINGLE(_xlfn.MAXIFS('Benchmark-Runs'!$W$2:$W$161,'Benchmark-Runs'!$X$2:$X$161,A18&amp;"_"&amp;B18))</f>
        <v>66.666666666666657</v>
      </c>
      <c r="I18" s="2">
        <f>SUMPRODUCT(('Benchmark-Runs'!$X$2:$X$161=A18&amp;"_"&amp;B18)*('Benchmark-Runs'!$F$2:$F$161))/COUNTIF('Benchmark-Runs'!$X$2:$X$161,A18&amp;"_"&amp;B18)</f>
        <v>1.3002E-2</v>
      </c>
      <c r="J18" s="2">
        <f>SUMPRODUCT(('Benchmark-Runs'!$X$2:$X$161=A18&amp;"_"&amp;B18)*('Benchmark-Runs'!$F$2:$F$161))</f>
        <v>6.5009999999999998E-2</v>
      </c>
      <c r="K18" s="2">
        <f>SUMPRODUCT(('Benchmark-Runs'!$X$2:$X$161=A18&amp;"_"&amp;B18)*('Benchmark-Runs'!$E$2:$E$161))/COUNTIF('Benchmark-Runs'!$X$2:$X$161,A18&amp;"_"&amp;B18)</f>
        <v>226.59399999999999</v>
      </c>
      <c r="L18" s="2">
        <f>SUMPRODUCT(('Benchmark-Runs'!$X$2:$X$161=A18&amp;"_"&amp;B18)*('Benchmark-Runs'!$I$2:$I$161))/COUNTIF('Benchmark-Runs'!$X$2:$X$161,A18&amp;"_"&amp;B18)</f>
        <v>130547.6</v>
      </c>
      <c r="M18" s="2">
        <f>SUMPRODUCT(('Benchmark-Runs'!$X$2:$X$161=A18&amp;"_"&amp;B18)*('Benchmark-Runs'!$G$2:$G$161))/COUNTIF('Benchmark-Runs'!$X$2:$X$161,A18&amp;"_"&amp;B18)</f>
        <v>112049</v>
      </c>
      <c r="N18" s="2">
        <f>SUMPRODUCT(('Benchmark-Runs'!$X$2:$X$161=A18&amp;"_"&amp;B18)*('Benchmark-Runs'!$H$2:$H$161))/COUNTIF('Benchmark-Runs'!$X$2:$X$161,A18&amp;"_"&amp;B18)</f>
        <v>18498.599999999999</v>
      </c>
      <c r="O18" s="2">
        <f t="shared" si="0"/>
        <v>2.1669999999999998E-4</v>
      </c>
      <c r="P18" s="2">
        <f>COUNTIF('Benchmark-Runs'!$X$2:$X$161,A18&amp;"_"&amp;B18)</f>
        <v>5</v>
      </c>
      <c r="Q18" s="4">
        <f>IFERROR(SUMPRODUCT(('Benchmark-Runs'!$X$2:$X$161=A18&amp;"_"&amp;B18)*('Benchmark-Runs'!$V$2:$V$161))/COUNTIF('Benchmark-Runs'!$X$2:$X$161,A18&amp;"_"&amp;B18),"-")</f>
        <v>3</v>
      </c>
    </row>
    <row r="19" spans="1:17" x14ac:dyDescent="0.25">
      <c r="A19" s="3" t="s">
        <v>53</v>
      </c>
      <c r="B19" s="2" t="s">
        <v>58</v>
      </c>
      <c r="C19" s="2" t="str">
        <f>_xlfn.XLOOKUP(Tabelle2[[#This Row],[Config]],Tabelle2!$A$1:$A$8,Tabelle2!$B$1:$B$8)</f>
        <v>P7</v>
      </c>
      <c r="D19" s="2" t="str">
        <f>Tabelle2[[#This Row],[Model]] &amp; " | " &amp; Tabelle2[[#This Row],[Spalte2]]</f>
        <v>gpt-5.2-chat | P7</v>
      </c>
      <c r="E19" s="2">
        <f>SUMPRODUCT(('Benchmark-Runs'!$X$2:$X$161=A19&amp;"_"&amp;B19)*('Benchmark-Runs'!$W$2:$W$161))/COUNTIF('Benchmark-Runs'!$X$2:$X$161,A19&amp;"_"&amp;B19)</f>
        <v>93.333333333333329</v>
      </c>
      <c r="F19" s="2">
        <f>IFERROR(SQRT(SUMPRODUCT(('Benchmark-Runs'!$X$2:$X$161=A19&amp;"_"&amp;B19)*('Benchmark-Runs'!$W$2:$W$161)^2)/COUNTIF('Benchmark-Runs'!$X$2:$X$161,A19&amp;"_"&amp;B19)-(SUMPRODUCT(('Benchmark-Runs'!$X$2:$X$161=A19&amp;"_"&amp;B19)*('Benchmark-Runs'!$W$2:$W$161))/COUNTIF('Benchmark-Runs'!$X$2:$X$161,A19&amp;"_"&amp;B19))^2),0)</f>
        <v>13.333333333333387</v>
      </c>
      <c r="G19" s="2">
        <f>_xlfn.SINGLE(_xlfn.MINIFS('Benchmark-Runs'!$W$2:$W$161,'Benchmark-Runs'!$X$2:$X$161,A19&amp;"_"&amp;B19))</f>
        <v>66.666666666666657</v>
      </c>
      <c r="H19" s="2">
        <f>_xlfn.SINGLE(_xlfn.MAXIFS('Benchmark-Runs'!$W$2:$W$161,'Benchmark-Runs'!$X$2:$X$161,A19&amp;"_"&amp;B19))</f>
        <v>100</v>
      </c>
      <c r="I19" s="2">
        <f>SUMPRODUCT(('Benchmark-Runs'!$X$2:$X$161=A19&amp;"_"&amp;B19)*('Benchmark-Runs'!$F$2:$F$161))/COUNTIF('Benchmark-Runs'!$X$2:$X$161,A19&amp;"_"&amp;B19)</f>
        <v>2.1887999999999998E-2</v>
      </c>
      <c r="J19" s="2">
        <f>SUMPRODUCT(('Benchmark-Runs'!$X$2:$X$161=A19&amp;"_"&amp;B19)*('Benchmark-Runs'!$F$2:$F$161))</f>
        <v>0.10944</v>
      </c>
      <c r="K19" s="2">
        <f>SUMPRODUCT(('Benchmark-Runs'!$X$2:$X$161=A19&amp;"_"&amp;B19)*('Benchmark-Runs'!$E$2:$E$161))/COUNTIF('Benchmark-Runs'!$X$2:$X$161,A19&amp;"_"&amp;B19)</f>
        <v>16.035999999999998</v>
      </c>
      <c r="L19" s="2">
        <f>SUMPRODUCT(('Benchmark-Runs'!$X$2:$X$161=A19&amp;"_"&amp;B19)*('Benchmark-Runs'!$I$2:$I$161))/COUNTIF('Benchmark-Runs'!$X$2:$X$161,A19&amp;"_"&amp;B19)</f>
        <v>5429.2</v>
      </c>
      <c r="M19" s="2">
        <f>SUMPRODUCT(('Benchmark-Runs'!$X$2:$X$161=A19&amp;"_"&amp;B19)*('Benchmark-Runs'!$G$2:$G$161))/COUNTIF('Benchmark-Runs'!$X$2:$X$161,A19&amp;"_"&amp;B19)</f>
        <v>4418</v>
      </c>
      <c r="N19" s="2">
        <f>SUMPRODUCT(('Benchmark-Runs'!$X$2:$X$161=A19&amp;"_"&amp;B19)*('Benchmark-Runs'!$H$2:$H$161))/COUNTIF('Benchmark-Runs'!$X$2:$X$161,A19&amp;"_"&amp;B19)</f>
        <v>1011.2</v>
      </c>
      <c r="O19" s="2">
        <f t="shared" si="0"/>
        <v>2.3451428571428571E-4</v>
      </c>
      <c r="P19" s="2">
        <f>COUNTIF('Benchmark-Runs'!$X$2:$X$161,A19&amp;"_"&amp;B19)</f>
        <v>5</v>
      </c>
      <c r="Q19" s="4">
        <f>IFERROR(SUMPRODUCT(('Benchmark-Runs'!$X$2:$X$161=A19&amp;"_"&amp;B19)*('Benchmark-Runs'!$V$2:$V$161))/COUNTIF('Benchmark-Runs'!$X$2:$X$161,A19&amp;"_"&amp;B19),"-")</f>
        <v>3</v>
      </c>
    </row>
    <row r="20" spans="1:17" x14ac:dyDescent="0.25">
      <c r="A20" s="3" t="s">
        <v>52</v>
      </c>
      <c r="B20" s="2" t="s">
        <v>57</v>
      </c>
      <c r="C20" s="2" t="str">
        <f>_xlfn.XLOOKUP(Tabelle2[[#This Row],[Config]],Tabelle2!$A$1:$A$8,Tabelle2!$B$1:$B$8)</f>
        <v>P3</v>
      </c>
      <c r="D20" s="2" t="str">
        <f>Tabelle2[[#This Row],[Model]] &amp; " | " &amp; Tabelle2[[#This Row],[Spalte2]]</f>
        <v>gpt-5-chat | P3</v>
      </c>
      <c r="E20" s="2">
        <f>SUMPRODUCT(('Benchmark-Runs'!$X$2:$X$161=A20&amp;"_"&amp;B20)*('Benchmark-Runs'!$W$2:$W$161))/COUNTIF('Benchmark-Runs'!$X$2:$X$161,A20&amp;"_"&amp;B20)</f>
        <v>100</v>
      </c>
      <c r="F20" s="2">
        <f>IFERROR(SQRT(SUMPRODUCT(('Benchmark-Runs'!$X$2:$X$161=A20&amp;"_"&amp;B20)*('Benchmark-Runs'!$W$2:$W$161)^2)/COUNTIF('Benchmark-Runs'!$X$2:$X$161,A20&amp;"_"&amp;B20)-(SUMPRODUCT(('Benchmark-Runs'!$X$2:$X$161=A20&amp;"_"&amp;B20)*('Benchmark-Runs'!$W$2:$W$161))/COUNTIF('Benchmark-Runs'!$X$2:$X$161,A20&amp;"_"&amp;B20))^2),0)</f>
        <v>0</v>
      </c>
      <c r="G20" s="2">
        <f>_xlfn.SINGLE(_xlfn.MINIFS('Benchmark-Runs'!$W$2:$W$161,'Benchmark-Runs'!$X$2:$X$161,A20&amp;"_"&amp;B20))</f>
        <v>100</v>
      </c>
      <c r="H20" s="2">
        <f>_xlfn.SINGLE(_xlfn.MAXIFS('Benchmark-Runs'!$W$2:$W$161,'Benchmark-Runs'!$X$2:$X$161,A20&amp;"_"&amp;B20))</f>
        <v>100</v>
      </c>
      <c r="I20" s="2">
        <f>SUMPRODUCT(('Benchmark-Runs'!$X$2:$X$161=A20&amp;"_"&amp;B20)*('Benchmark-Runs'!$F$2:$F$161))/COUNTIF('Benchmark-Runs'!$X$2:$X$161,A20&amp;"_"&amp;B20)</f>
        <v>2.5878000000000002E-2</v>
      </c>
      <c r="J20" s="2">
        <f>SUMPRODUCT(('Benchmark-Runs'!$X$2:$X$161=A20&amp;"_"&amp;B20)*('Benchmark-Runs'!$F$2:$F$161))</f>
        <v>0.12939000000000001</v>
      </c>
      <c r="K20" s="2">
        <f>SUMPRODUCT(('Benchmark-Runs'!$X$2:$X$161=A20&amp;"_"&amp;B20)*('Benchmark-Runs'!$E$2:$E$161))/COUNTIF('Benchmark-Runs'!$X$2:$X$161,A20&amp;"_"&amp;B20)</f>
        <v>19.277999999999999</v>
      </c>
      <c r="L20" s="2">
        <f>SUMPRODUCT(('Benchmark-Runs'!$X$2:$X$161=A20&amp;"_"&amp;B20)*('Benchmark-Runs'!$I$2:$I$161))/COUNTIF('Benchmark-Runs'!$X$2:$X$161,A20&amp;"_"&amp;B20)</f>
        <v>8341.7999999999993</v>
      </c>
      <c r="M20" s="2">
        <f>SUMPRODUCT(('Benchmark-Runs'!$X$2:$X$161=A20&amp;"_"&amp;B20)*('Benchmark-Runs'!$G$2:$G$161))/COUNTIF('Benchmark-Runs'!$X$2:$X$161,A20&amp;"_"&amp;B20)</f>
        <v>6576</v>
      </c>
      <c r="N20" s="2">
        <f>SUMPRODUCT(('Benchmark-Runs'!$X$2:$X$161=A20&amp;"_"&amp;B20)*('Benchmark-Runs'!$H$2:$H$161))/COUNTIF('Benchmark-Runs'!$X$2:$X$161,A20&amp;"_"&amp;B20)</f>
        <v>1765.8</v>
      </c>
      <c r="O20" s="2">
        <f t="shared" si="0"/>
        <v>2.5878000000000001E-4</v>
      </c>
      <c r="P20" s="2">
        <f>COUNTIF('Benchmark-Runs'!$X$2:$X$161,A20&amp;"_"&amp;B20)</f>
        <v>5</v>
      </c>
      <c r="Q20" s="4">
        <f>IFERROR(SUMPRODUCT(('Benchmark-Runs'!$X$2:$X$161=A20&amp;"_"&amp;B20)*('Benchmark-Runs'!$V$2:$V$161))/COUNTIF('Benchmark-Runs'!$X$2:$X$161,A20&amp;"_"&amp;B20),"-")</f>
        <v>3</v>
      </c>
    </row>
    <row r="21" spans="1:17" x14ac:dyDescent="0.25">
      <c r="A21" s="3" t="s">
        <v>52</v>
      </c>
      <c r="B21" s="2" t="s">
        <v>48</v>
      </c>
      <c r="C21" s="2" t="str">
        <f>_xlfn.XLOOKUP(Tabelle2[[#This Row],[Config]],Tabelle2!$A$1:$A$8,Tabelle2!$B$1:$B$8)</f>
        <v>P8</v>
      </c>
      <c r="D21" s="2" t="str">
        <f>Tabelle2[[#This Row],[Model]] &amp; " | " &amp; Tabelle2[[#This Row],[Spalte2]]</f>
        <v>gpt-5-chat | P8</v>
      </c>
      <c r="E21" s="2">
        <f>SUMPRODUCT(('Benchmark-Runs'!$X$2:$X$161=A21&amp;"_"&amp;B21)*('Benchmark-Runs'!$W$2:$W$161))/COUNTIF('Benchmark-Runs'!$X$2:$X$161,A21&amp;"_"&amp;B21)</f>
        <v>66.666666666666657</v>
      </c>
      <c r="F21" s="2">
        <f>IFERROR(SQRT(SUMPRODUCT(('Benchmark-Runs'!$X$2:$X$161=A21&amp;"_"&amp;B21)*('Benchmark-Runs'!$W$2:$W$161)^2)/COUNTIF('Benchmark-Runs'!$X$2:$X$161,A21&amp;"_"&amp;B21)-(SUMPRODUCT(('Benchmark-Runs'!$X$2:$X$161=A21&amp;"_"&amp;B21)*('Benchmark-Runs'!$W$2:$W$161))/COUNTIF('Benchmark-Runs'!$X$2:$X$161,A21&amp;"_"&amp;B21))^2),0)</f>
        <v>0</v>
      </c>
      <c r="G21" s="2">
        <f>_xlfn.SINGLE(_xlfn.MINIFS('Benchmark-Runs'!$W$2:$W$161,'Benchmark-Runs'!$X$2:$X$161,A21&amp;"_"&amp;B21))</f>
        <v>66.666666666666657</v>
      </c>
      <c r="H21" s="2">
        <f>_xlfn.SINGLE(_xlfn.MAXIFS('Benchmark-Runs'!$W$2:$W$161,'Benchmark-Runs'!$X$2:$X$161,A21&amp;"_"&amp;B21))</f>
        <v>66.666666666666657</v>
      </c>
      <c r="I21" s="2">
        <f>SUMPRODUCT(('Benchmark-Runs'!$X$2:$X$161=A21&amp;"_"&amp;B21)*('Benchmark-Runs'!$F$2:$F$161))/COUNTIF('Benchmark-Runs'!$X$2:$X$161,A21&amp;"_"&amp;B21)</f>
        <v>2.0611999999999998E-2</v>
      </c>
      <c r="J21" s="2">
        <f>SUMPRODUCT(('Benchmark-Runs'!$X$2:$X$161=A21&amp;"_"&amp;B21)*('Benchmark-Runs'!$F$2:$F$161))</f>
        <v>0.10306</v>
      </c>
      <c r="K21" s="2">
        <f>SUMPRODUCT(('Benchmark-Runs'!$X$2:$X$161=A21&amp;"_"&amp;B21)*('Benchmark-Runs'!$E$2:$E$161))/COUNTIF('Benchmark-Runs'!$X$2:$X$161,A21&amp;"_"&amp;B21)</f>
        <v>13.616</v>
      </c>
      <c r="L21" s="2">
        <f>SUMPRODUCT(('Benchmark-Runs'!$X$2:$X$161=A21&amp;"_"&amp;B21)*('Benchmark-Runs'!$I$2:$I$161))/COUNTIF('Benchmark-Runs'!$X$2:$X$161,A21&amp;"_"&amp;B21)</f>
        <v>5927.8</v>
      </c>
      <c r="M21" s="2">
        <f>SUMPRODUCT(('Benchmark-Runs'!$X$2:$X$161=A21&amp;"_"&amp;B21)*('Benchmark-Runs'!$G$2:$G$161))/COUNTIF('Benchmark-Runs'!$X$2:$X$161,A21&amp;"_"&amp;B21)</f>
        <v>4419</v>
      </c>
      <c r="N21" s="2">
        <f>SUMPRODUCT(('Benchmark-Runs'!$X$2:$X$161=A21&amp;"_"&amp;B21)*('Benchmark-Runs'!$H$2:$H$161))/COUNTIF('Benchmark-Runs'!$X$2:$X$161,A21&amp;"_"&amp;B21)</f>
        <v>1508.8</v>
      </c>
      <c r="O21" s="2">
        <f t="shared" si="0"/>
        <v>3.0918000000000005E-4</v>
      </c>
      <c r="P21" s="2">
        <f>COUNTIF('Benchmark-Runs'!$X$2:$X$161,A21&amp;"_"&amp;B21)</f>
        <v>5</v>
      </c>
      <c r="Q21" s="4">
        <f>IFERROR(SUMPRODUCT(('Benchmark-Runs'!$X$2:$X$161=A21&amp;"_"&amp;B21)*('Benchmark-Runs'!$V$2:$V$161))/COUNTIF('Benchmark-Runs'!$X$2:$X$161,A21&amp;"_"&amp;B21),"-")</f>
        <v>3</v>
      </c>
    </row>
    <row r="22" spans="1:17" x14ac:dyDescent="0.25">
      <c r="A22" s="3" t="s">
        <v>52</v>
      </c>
      <c r="B22" s="2" t="s">
        <v>44</v>
      </c>
      <c r="C22" s="2" t="str">
        <f>_xlfn.XLOOKUP(Tabelle2[[#This Row],[Config]],Tabelle2!$A$1:$A$8,Tabelle2!$B$1:$B$8)</f>
        <v>P6</v>
      </c>
      <c r="D22" s="2" t="str">
        <f>Tabelle2[[#This Row],[Model]] &amp; " | " &amp; Tabelle2[[#This Row],[Spalte2]]</f>
        <v>gpt-5-chat | P6</v>
      </c>
      <c r="E22" s="2">
        <f>SUMPRODUCT(('Benchmark-Runs'!$X$2:$X$161=A22&amp;"_"&amp;B22)*('Benchmark-Runs'!$W$2:$W$161))/COUNTIF('Benchmark-Runs'!$X$2:$X$161,A22&amp;"_"&amp;B22)</f>
        <v>73.333333333333329</v>
      </c>
      <c r="F22" s="2">
        <f>IFERROR(SQRT(SUMPRODUCT(('Benchmark-Runs'!$X$2:$X$161=A22&amp;"_"&amp;B22)*('Benchmark-Runs'!$W$2:$W$161)^2)/COUNTIF('Benchmark-Runs'!$X$2:$X$161,A22&amp;"_"&amp;B22)-(SUMPRODUCT(('Benchmark-Runs'!$X$2:$X$161=A22&amp;"_"&amp;B22)*('Benchmark-Runs'!$W$2:$W$161))/COUNTIF('Benchmark-Runs'!$X$2:$X$161,A22&amp;"_"&amp;B22))^2),0)</f>
        <v>13.333333333333318</v>
      </c>
      <c r="G22" s="2">
        <f>_xlfn.SINGLE(_xlfn.MINIFS('Benchmark-Runs'!$W$2:$W$161,'Benchmark-Runs'!$X$2:$X$161,A22&amp;"_"&amp;B22))</f>
        <v>66.666666666666657</v>
      </c>
      <c r="H22" s="2">
        <f>_xlfn.SINGLE(_xlfn.MAXIFS('Benchmark-Runs'!$W$2:$W$161,'Benchmark-Runs'!$X$2:$X$161,A22&amp;"_"&amp;B22))</f>
        <v>100</v>
      </c>
      <c r="I22" s="2">
        <f>SUMPRODUCT(('Benchmark-Runs'!$X$2:$X$161=A22&amp;"_"&amp;B22)*('Benchmark-Runs'!$F$2:$F$161))/COUNTIF('Benchmark-Runs'!$X$2:$X$161,A22&amp;"_"&amp;B22)</f>
        <v>2.5503999999999999E-2</v>
      </c>
      <c r="J22" s="2">
        <f>SUMPRODUCT(('Benchmark-Runs'!$X$2:$X$161=A22&amp;"_"&amp;B22)*('Benchmark-Runs'!$F$2:$F$161))</f>
        <v>0.12751999999999999</v>
      </c>
      <c r="K22" s="2">
        <f>SUMPRODUCT(('Benchmark-Runs'!$X$2:$X$161=A22&amp;"_"&amp;B22)*('Benchmark-Runs'!$E$2:$E$161))/COUNTIF('Benchmark-Runs'!$X$2:$X$161,A22&amp;"_"&amp;B22)</f>
        <v>18.173999999999999</v>
      </c>
      <c r="L22" s="2">
        <f>SUMPRODUCT(('Benchmark-Runs'!$X$2:$X$161=A22&amp;"_"&amp;B22)*('Benchmark-Runs'!$I$2:$I$161))/COUNTIF('Benchmark-Runs'!$X$2:$X$161,A22&amp;"_"&amp;B22)</f>
        <v>8304.4</v>
      </c>
      <c r="M22" s="2">
        <f>SUMPRODUCT(('Benchmark-Runs'!$X$2:$X$161=A22&amp;"_"&amp;B22)*('Benchmark-Runs'!$G$2:$G$161))/COUNTIF('Benchmark-Runs'!$X$2:$X$161,A22&amp;"_"&amp;B22)</f>
        <v>6576</v>
      </c>
      <c r="N22" s="2">
        <f>SUMPRODUCT(('Benchmark-Runs'!$X$2:$X$161=A22&amp;"_"&amp;B22)*('Benchmark-Runs'!$H$2:$H$161))/COUNTIF('Benchmark-Runs'!$X$2:$X$161,A22&amp;"_"&amp;B22)</f>
        <v>1728.4</v>
      </c>
      <c r="O22" s="2">
        <f t="shared" si="0"/>
        <v>3.4778181818181816E-4</v>
      </c>
      <c r="P22" s="2">
        <f>COUNTIF('Benchmark-Runs'!$X$2:$X$161,A22&amp;"_"&amp;B22)</f>
        <v>5</v>
      </c>
      <c r="Q22" s="4">
        <f>IFERROR(SUMPRODUCT(('Benchmark-Runs'!$X$2:$X$161=A22&amp;"_"&amp;B22)*('Benchmark-Runs'!$V$2:$V$161))/COUNTIF('Benchmark-Runs'!$X$2:$X$161,A22&amp;"_"&amp;B22),"-")</f>
        <v>3</v>
      </c>
    </row>
    <row r="23" spans="1:17" x14ac:dyDescent="0.25">
      <c r="A23" s="3" t="s">
        <v>53</v>
      </c>
      <c r="B23" s="2" t="s">
        <v>48</v>
      </c>
      <c r="C23" s="2" t="str">
        <f>_xlfn.XLOOKUP(Tabelle2[[#This Row],[Config]],Tabelle2!$A$1:$A$8,Tabelle2!$B$1:$B$8)</f>
        <v>P8</v>
      </c>
      <c r="D23" s="2" t="str">
        <f>Tabelle2[[#This Row],[Model]] &amp; " | " &amp; Tabelle2[[#This Row],[Spalte2]]</f>
        <v>gpt-5.2-chat | P8</v>
      </c>
      <c r="E23" s="2">
        <f>SUMPRODUCT(('Benchmark-Runs'!$X$2:$X$161=A23&amp;"_"&amp;B23)*('Benchmark-Runs'!$W$2:$W$161))/COUNTIF('Benchmark-Runs'!$X$2:$X$161,A23&amp;"_"&amp;B23)</f>
        <v>53.333333333333329</v>
      </c>
      <c r="F23" s="2">
        <f>IFERROR(SQRT(SUMPRODUCT(('Benchmark-Runs'!$X$2:$X$161=A23&amp;"_"&amp;B23)*('Benchmark-Runs'!$W$2:$W$161)^2)/COUNTIF('Benchmark-Runs'!$X$2:$X$161,A23&amp;"_"&amp;B23)-(SUMPRODUCT(('Benchmark-Runs'!$X$2:$X$161=A23&amp;"_"&amp;B23)*('Benchmark-Runs'!$W$2:$W$161))/COUNTIF('Benchmark-Runs'!$X$2:$X$161,A23&amp;"_"&amp;B23))^2),0)</f>
        <v>26.666666666666661</v>
      </c>
      <c r="G23" s="2">
        <f>_xlfn.SINGLE(_xlfn.MINIFS('Benchmark-Runs'!$W$2:$W$161,'Benchmark-Runs'!$X$2:$X$161,A23&amp;"_"&amp;B23))</f>
        <v>0</v>
      </c>
      <c r="H23" s="2">
        <f>_xlfn.SINGLE(_xlfn.MAXIFS('Benchmark-Runs'!$W$2:$W$161,'Benchmark-Runs'!$X$2:$X$161,A23&amp;"_"&amp;B23))</f>
        <v>66.666666666666657</v>
      </c>
      <c r="I23" s="2">
        <f>SUMPRODUCT(('Benchmark-Runs'!$X$2:$X$161=A23&amp;"_"&amp;B23)*('Benchmark-Runs'!$F$2:$F$161))/COUNTIF('Benchmark-Runs'!$X$2:$X$161,A23&amp;"_"&amp;B23)</f>
        <v>2.2176800000000003E-2</v>
      </c>
      <c r="J23" s="2">
        <f>SUMPRODUCT(('Benchmark-Runs'!$X$2:$X$161=A23&amp;"_"&amp;B23)*('Benchmark-Runs'!$F$2:$F$161))</f>
        <v>0.11088400000000001</v>
      </c>
      <c r="K23" s="2">
        <f>SUMPRODUCT(('Benchmark-Runs'!$X$2:$X$161=A23&amp;"_"&amp;B23)*('Benchmark-Runs'!$E$2:$E$161))/COUNTIF('Benchmark-Runs'!$X$2:$X$161,A23&amp;"_"&amp;B23)</f>
        <v>18.07</v>
      </c>
      <c r="L23" s="2">
        <f>SUMPRODUCT(('Benchmark-Runs'!$X$2:$X$161=A23&amp;"_"&amp;B23)*('Benchmark-Runs'!$I$2:$I$161))/COUNTIF('Benchmark-Runs'!$X$2:$X$161,A23&amp;"_"&amp;B23)</f>
        <v>5449.8</v>
      </c>
      <c r="M23" s="2">
        <f>SUMPRODUCT(('Benchmark-Runs'!$X$2:$X$161=A23&amp;"_"&amp;B23)*('Benchmark-Runs'!$G$2:$G$161))/COUNTIF('Benchmark-Runs'!$X$2:$X$161,A23&amp;"_"&amp;B23)</f>
        <v>4418</v>
      </c>
      <c r="N23" s="2">
        <f>SUMPRODUCT(('Benchmark-Runs'!$X$2:$X$161=A23&amp;"_"&amp;B23)*('Benchmark-Runs'!$H$2:$H$161))/COUNTIF('Benchmark-Runs'!$X$2:$X$161,A23&amp;"_"&amp;B23)</f>
        <v>1031.8</v>
      </c>
      <c r="O23" s="2">
        <f t="shared" si="0"/>
        <v>4.158150000000001E-4</v>
      </c>
      <c r="P23" s="2">
        <f>COUNTIF('Benchmark-Runs'!$X$2:$X$161,A23&amp;"_"&amp;B23)</f>
        <v>5</v>
      </c>
      <c r="Q23" s="4">
        <f>IFERROR(SUMPRODUCT(('Benchmark-Runs'!$X$2:$X$161=A23&amp;"_"&amp;B23)*('Benchmark-Runs'!$V$2:$V$161))/COUNTIF('Benchmark-Runs'!$X$2:$X$161,A23&amp;"_"&amp;B23),"-")</f>
        <v>3</v>
      </c>
    </row>
    <row r="24" spans="1:17" x14ac:dyDescent="0.25">
      <c r="A24" s="3" t="s">
        <v>52</v>
      </c>
      <c r="B24" s="2" t="s">
        <v>56</v>
      </c>
      <c r="C24" s="2" t="str">
        <f>_xlfn.XLOOKUP(Tabelle2[[#This Row],[Config]],Tabelle2!$A$1:$A$8,Tabelle2!$B$1:$B$8)</f>
        <v>P2</v>
      </c>
      <c r="D24" s="2" t="str">
        <f>Tabelle2[[#This Row],[Model]] &amp; " | " &amp; Tabelle2[[#This Row],[Spalte2]]</f>
        <v>gpt-5-chat | P2</v>
      </c>
      <c r="E24" s="2">
        <f>SUMPRODUCT(('Benchmark-Runs'!$X$2:$X$161=A24&amp;"_"&amp;B24)*('Benchmark-Runs'!$W$2:$W$161))/COUNTIF('Benchmark-Runs'!$X$2:$X$161,A24&amp;"_"&amp;B24)</f>
        <v>100</v>
      </c>
      <c r="F24" s="2">
        <f>IFERROR(SQRT(SUMPRODUCT(('Benchmark-Runs'!$X$2:$X$161=A24&amp;"_"&amp;B24)*('Benchmark-Runs'!$W$2:$W$161)^2)/COUNTIF('Benchmark-Runs'!$X$2:$X$161,A24&amp;"_"&amp;B24)-(SUMPRODUCT(('Benchmark-Runs'!$X$2:$X$161=A24&amp;"_"&amp;B24)*('Benchmark-Runs'!$W$2:$W$161))/COUNTIF('Benchmark-Runs'!$X$2:$X$161,A24&amp;"_"&amp;B24))^2),0)</f>
        <v>0</v>
      </c>
      <c r="G24" s="2">
        <f>_xlfn.SINGLE(_xlfn.MINIFS('Benchmark-Runs'!$W$2:$W$161,'Benchmark-Runs'!$X$2:$X$161,A24&amp;"_"&amp;B24))</f>
        <v>100</v>
      </c>
      <c r="H24" s="2">
        <f>_xlfn.SINGLE(_xlfn.MAXIFS('Benchmark-Runs'!$W$2:$W$161,'Benchmark-Runs'!$X$2:$X$161,A24&amp;"_"&amp;B24))</f>
        <v>100</v>
      </c>
      <c r="I24" s="2">
        <f>SUMPRODUCT(('Benchmark-Runs'!$X$2:$X$161=A24&amp;"_"&amp;B24)*('Benchmark-Runs'!$F$2:$F$161))/COUNTIF('Benchmark-Runs'!$X$2:$X$161,A24&amp;"_"&amp;B24)</f>
        <v>4.3573800000000003E-2</v>
      </c>
      <c r="J24" s="2">
        <f>SUMPRODUCT(('Benchmark-Runs'!$X$2:$X$161=A24&amp;"_"&amp;B24)*('Benchmark-Runs'!$F$2:$F$161))</f>
        <v>0.21786900000000001</v>
      </c>
      <c r="K24" s="2">
        <f>SUMPRODUCT(('Benchmark-Runs'!$X$2:$X$161=A24&amp;"_"&amp;B24)*('Benchmark-Runs'!$E$2:$E$161))/COUNTIF('Benchmark-Runs'!$X$2:$X$161,A24&amp;"_"&amp;B24)</f>
        <v>13.097999999999999</v>
      </c>
      <c r="L24" s="2">
        <f>SUMPRODUCT(('Benchmark-Runs'!$X$2:$X$161=A24&amp;"_"&amp;B24)*('Benchmark-Runs'!$I$2:$I$161))/COUNTIF('Benchmark-Runs'!$X$2:$X$161,A24&amp;"_"&amp;B24)</f>
        <v>24494.6</v>
      </c>
      <c r="M24" s="2">
        <f>SUMPRODUCT(('Benchmark-Runs'!$X$2:$X$161=A24&amp;"_"&amp;B24)*('Benchmark-Runs'!$G$2:$G$161))/COUNTIF('Benchmark-Runs'!$X$2:$X$161,A24&amp;"_"&amp;B24)</f>
        <v>23014</v>
      </c>
      <c r="N24" s="2">
        <f>SUMPRODUCT(('Benchmark-Runs'!$X$2:$X$161=A24&amp;"_"&amp;B24)*('Benchmark-Runs'!$H$2:$H$161))/COUNTIF('Benchmark-Runs'!$X$2:$X$161,A24&amp;"_"&amp;B24)</f>
        <v>1480.6</v>
      </c>
      <c r="O24" s="2">
        <f t="shared" si="0"/>
        <v>4.3573800000000002E-4</v>
      </c>
      <c r="P24" s="2">
        <f>COUNTIF('Benchmark-Runs'!$X$2:$X$161,A24&amp;"_"&amp;B24)</f>
        <v>5</v>
      </c>
      <c r="Q24" s="4">
        <f>IFERROR(SUMPRODUCT(('Benchmark-Runs'!$X$2:$X$161=A24&amp;"_"&amp;B24)*('Benchmark-Runs'!$V$2:$V$161))/COUNTIF('Benchmark-Runs'!$X$2:$X$161,A24&amp;"_"&amp;B24),"-")</f>
        <v>3</v>
      </c>
    </row>
    <row r="25" spans="1:17" x14ac:dyDescent="0.25">
      <c r="A25" s="3" t="s">
        <v>53</v>
      </c>
      <c r="B25" s="2" t="s">
        <v>57</v>
      </c>
      <c r="C25" s="2" t="str">
        <f>_xlfn.XLOOKUP(Tabelle2[[#This Row],[Config]],Tabelle2!$A$1:$A$8,Tabelle2!$B$1:$B$8)</f>
        <v>P3</v>
      </c>
      <c r="D25" s="2" t="str">
        <f>Tabelle2[[#This Row],[Model]] &amp; " | " &amp; Tabelle2[[#This Row],[Spalte2]]</f>
        <v>gpt-5.2-chat | P3</v>
      </c>
      <c r="E25" s="2">
        <f>SUMPRODUCT(('Benchmark-Runs'!$X$2:$X$161=A25&amp;"_"&amp;B25)*('Benchmark-Runs'!$W$2:$W$161))/COUNTIF('Benchmark-Runs'!$X$2:$X$161,A25&amp;"_"&amp;B25)</f>
        <v>100</v>
      </c>
      <c r="F25" s="2">
        <f>IFERROR(SQRT(SUMPRODUCT(('Benchmark-Runs'!$X$2:$X$161=A25&amp;"_"&amp;B25)*('Benchmark-Runs'!$W$2:$W$161)^2)/COUNTIF('Benchmark-Runs'!$X$2:$X$161,A25&amp;"_"&amp;B25)-(SUMPRODUCT(('Benchmark-Runs'!$X$2:$X$161=A25&amp;"_"&amp;B25)*('Benchmark-Runs'!$W$2:$W$161))/COUNTIF('Benchmark-Runs'!$X$2:$X$161,A25&amp;"_"&amp;B25))^2),0)</f>
        <v>0</v>
      </c>
      <c r="G25" s="2">
        <f>_xlfn.SINGLE(_xlfn.MINIFS('Benchmark-Runs'!$W$2:$W$161,'Benchmark-Runs'!$X$2:$X$161,A25&amp;"_"&amp;B25))</f>
        <v>100</v>
      </c>
      <c r="H25" s="2">
        <f>_xlfn.SINGLE(_xlfn.MAXIFS('Benchmark-Runs'!$W$2:$W$161,'Benchmark-Runs'!$X$2:$X$161,A25&amp;"_"&amp;B25))</f>
        <v>100</v>
      </c>
      <c r="I25" s="2">
        <f>SUMPRODUCT(('Benchmark-Runs'!$X$2:$X$161=A25&amp;"_"&amp;B25)*('Benchmark-Runs'!$F$2:$F$161))/COUNTIF('Benchmark-Runs'!$X$2:$X$161,A25&amp;"_"&amp;B25)</f>
        <v>4.4337400000000006E-2</v>
      </c>
      <c r="J25" s="2">
        <f>SUMPRODUCT(('Benchmark-Runs'!$X$2:$X$161=A25&amp;"_"&amp;B25)*('Benchmark-Runs'!$F$2:$F$161))</f>
        <v>0.22168700000000002</v>
      </c>
      <c r="K25" s="2">
        <f>SUMPRODUCT(('Benchmark-Runs'!$X$2:$X$161=A25&amp;"_"&amp;B25)*('Benchmark-Runs'!$E$2:$E$161))/COUNTIF('Benchmark-Runs'!$X$2:$X$161,A25&amp;"_"&amp;B25)</f>
        <v>45.256</v>
      </c>
      <c r="L25" s="2">
        <f>SUMPRODUCT(('Benchmark-Runs'!$X$2:$X$161=A25&amp;"_"&amp;B25)*('Benchmark-Runs'!$I$2:$I$161))/COUNTIF('Benchmark-Runs'!$X$2:$X$161,A25&amp;"_"&amp;B25)</f>
        <v>8916.6</v>
      </c>
      <c r="M25" s="2">
        <f>SUMPRODUCT(('Benchmark-Runs'!$X$2:$X$161=A25&amp;"_"&amp;B25)*('Benchmark-Runs'!$G$2:$G$161))/COUNTIF('Benchmark-Runs'!$X$2:$X$161,A25&amp;"_"&amp;B25)</f>
        <v>6571</v>
      </c>
      <c r="N25" s="2">
        <f>SUMPRODUCT(('Benchmark-Runs'!$X$2:$X$161=A25&amp;"_"&amp;B25)*('Benchmark-Runs'!$H$2:$H$161))/COUNTIF('Benchmark-Runs'!$X$2:$X$161,A25&amp;"_"&amp;B25)</f>
        <v>2345.6</v>
      </c>
      <c r="O25" s="2">
        <f t="shared" si="0"/>
        <v>4.4337400000000007E-4</v>
      </c>
      <c r="P25" s="2">
        <f>COUNTIF('Benchmark-Runs'!$X$2:$X$161,A25&amp;"_"&amp;B25)</f>
        <v>5</v>
      </c>
      <c r="Q25" s="4">
        <f>IFERROR(SUMPRODUCT(('Benchmark-Runs'!$X$2:$X$161=A25&amp;"_"&amp;B25)*('Benchmark-Runs'!$V$2:$V$161))/COUNTIF('Benchmark-Runs'!$X$2:$X$161,A25&amp;"_"&amp;B25),"-")</f>
        <v>3</v>
      </c>
    </row>
    <row r="26" spans="1:17" x14ac:dyDescent="0.25">
      <c r="A26" s="3" t="s">
        <v>53</v>
      </c>
      <c r="B26" s="2" t="s">
        <v>44</v>
      </c>
      <c r="C26" s="2" t="str">
        <f>_xlfn.XLOOKUP(Tabelle2[[#This Row],[Config]],Tabelle2!$A$1:$A$8,Tabelle2!$B$1:$B$8)</f>
        <v>P6</v>
      </c>
      <c r="D26" s="2" t="str">
        <f>Tabelle2[[#This Row],[Model]] &amp; " | " &amp; Tabelle2[[#This Row],[Spalte2]]</f>
        <v>gpt-5.2-chat | P6</v>
      </c>
      <c r="E26" s="2">
        <f>SUMPRODUCT(('Benchmark-Runs'!$X$2:$X$161=A26&amp;"_"&amp;B26)*('Benchmark-Runs'!$W$2:$W$161))/COUNTIF('Benchmark-Runs'!$X$2:$X$161,A26&amp;"_"&amp;B26)</f>
        <v>93.333333333333329</v>
      </c>
      <c r="F26" s="2">
        <f>IFERROR(SQRT(SUMPRODUCT(('Benchmark-Runs'!$X$2:$X$161=A26&amp;"_"&amp;B26)*('Benchmark-Runs'!$W$2:$W$161)^2)/COUNTIF('Benchmark-Runs'!$X$2:$X$161,A26&amp;"_"&amp;B26)-(SUMPRODUCT(('Benchmark-Runs'!$X$2:$X$161=A26&amp;"_"&amp;B26)*('Benchmark-Runs'!$W$2:$W$161))/COUNTIF('Benchmark-Runs'!$X$2:$X$161,A26&amp;"_"&amp;B26))^2),0)</f>
        <v>13.333333333333387</v>
      </c>
      <c r="G26" s="2">
        <f>_xlfn.SINGLE(_xlfn.MINIFS('Benchmark-Runs'!$W$2:$W$161,'Benchmark-Runs'!$X$2:$X$161,A26&amp;"_"&amp;B26))</f>
        <v>66.666666666666657</v>
      </c>
      <c r="H26" s="2">
        <f>_xlfn.SINGLE(_xlfn.MAXIFS('Benchmark-Runs'!$W$2:$W$161,'Benchmark-Runs'!$X$2:$X$161,A26&amp;"_"&amp;B26))</f>
        <v>100</v>
      </c>
      <c r="I26" s="2">
        <f>SUMPRODUCT(('Benchmark-Runs'!$X$2:$X$161=A26&amp;"_"&amp;B26)*('Benchmark-Runs'!$F$2:$F$161))/COUNTIF('Benchmark-Runs'!$X$2:$X$161,A26&amp;"_"&amp;B26)</f>
        <v>4.3699000000000002E-2</v>
      </c>
      <c r="J26" s="2">
        <f>SUMPRODUCT(('Benchmark-Runs'!$X$2:$X$161=A26&amp;"_"&amp;B26)*('Benchmark-Runs'!$F$2:$F$161))</f>
        <v>0.21849499999999999</v>
      </c>
      <c r="K26" s="2">
        <f>SUMPRODUCT(('Benchmark-Runs'!$X$2:$X$161=A26&amp;"_"&amp;B26)*('Benchmark-Runs'!$E$2:$E$161))/COUNTIF('Benchmark-Runs'!$X$2:$X$161,A26&amp;"_"&amp;B26)</f>
        <v>45.934000000000005</v>
      </c>
      <c r="L26" s="2">
        <f>SUMPRODUCT(('Benchmark-Runs'!$X$2:$X$161=A26&amp;"_"&amp;B26)*('Benchmark-Runs'!$I$2:$I$161))/COUNTIF('Benchmark-Runs'!$X$2:$X$161,A26&amp;"_"&amp;B26)</f>
        <v>8871</v>
      </c>
      <c r="M26" s="2">
        <f>SUMPRODUCT(('Benchmark-Runs'!$X$2:$X$161=A26&amp;"_"&amp;B26)*('Benchmark-Runs'!$G$2:$G$161))/COUNTIF('Benchmark-Runs'!$X$2:$X$161,A26&amp;"_"&amp;B26)</f>
        <v>6571</v>
      </c>
      <c r="N26" s="2">
        <f>SUMPRODUCT(('Benchmark-Runs'!$X$2:$X$161=A26&amp;"_"&amp;B26)*('Benchmark-Runs'!$H$2:$H$161))/COUNTIF('Benchmark-Runs'!$X$2:$X$161,A26&amp;"_"&amp;B26)</f>
        <v>2300</v>
      </c>
      <c r="O26" s="2">
        <f t="shared" si="0"/>
        <v>4.682035714285715E-4</v>
      </c>
      <c r="P26" s="2">
        <f>COUNTIF('Benchmark-Runs'!$X$2:$X$161,A26&amp;"_"&amp;B26)</f>
        <v>5</v>
      </c>
      <c r="Q26" s="4">
        <f>IFERROR(SUMPRODUCT(('Benchmark-Runs'!$X$2:$X$161=A26&amp;"_"&amp;B26)*('Benchmark-Runs'!$V$2:$V$161))/COUNTIF('Benchmark-Runs'!$X$2:$X$161,A26&amp;"_"&amp;B26),"-")</f>
        <v>3</v>
      </c>
    </row>
    <row r="27" spans="1:17" x14ac:dyDescent="0.25">
      <c r="A27" s="3" t="s">
        <v>53</v>
      </c>
      <c r="B27" s="2" t="s">
        <v>56</v>
      </c>
      <c r="C27" s="2" t="str">
        <f>_xlfn.XLOOKUP(Tabelle2[[#This Row],[Config]],Tabelle2!$A$1:$A$8,Tabelle2!$B$1:$B$8)</f>
        <v>P2</v>
      </c>
      <c r="D27" s="2" t="str">
        <f>Tabelle2[[#This Row],[Model]] &amp; " | " &amp; Tabelle2[[#This Row],[Spalte2]]</f>
        <v>gpt-5.2-chat | P2</v>
      </c>
      <c r="E27" s="2">
        <f>SUMPRODUCT(('Benchmark-Runs'!$X$2:$X$161=A27&amp;"_"&amp;B27)*('Benchmark-Runs'!$W$2:$W$161))/COUNTIF('Benchmark-Runs'!$X$2:$X$161,A27&amp;"_"&amp;B27)</f>
        <v>100</v>
      </c>
      <c r="F27" s="2">
        <f>IFERROR(SQRT(SUMPRODUCT(('Benchmark-Runs'!$X$2:$X$161=A27&amp;"_"&amp;B27)*('Benchmark-Runs'!$W$2:$W$161)^2)/COUNTIF('Benchmark-Runs'!$X$2:$X$161,A27&amp;"_"&amp;B27)-(SUMPRODUCT(('Benchmark-Runs'!$X$2:$X$161=A27&amp;"_"&amp;B27)*('Benchmark-Runs'!$W$2:$W$161))/COUNTIF('Benchmark-Runs'!$X$2:$X$161,A27&amp;"_"&amp;B27))^2),0)</f>
        <v>0</v>
      </c>
      <c r="G27" s="2">
        <f>_xlfn.SINGLE(_xlfn.MINIFS('Benchmark-Runs'!$W$2:$W$161,'Benchmark-Runs'!$X$2:$X$161,A27&amp;"_"&amp;B27))</f>
        <v>100</v>
      </c>
      <c r="H27" s="2">
        <f>_xlfn.SINGLE(_xlfn.MAXIFS('Benchmark-Runs'!$W$2:$W$161,'Benchmark-Runs'!$X$2:$X$161,A27&amp;"_"&amp;B27))</f>
        <v>100</v>
      </c>
      <c r="I27" s="2">
        <f>SUMPRODUCT(('Benchmark-Runs'!$X$2:$X$161=A27&amp;"_"&amp;B27)*('Benchmark-Runs'!$F$2:$F$161))/COUNTIF('Benchmark-Runs'!$X$2:$X$161,A27&amp;"_"&amp;B27)</f>
        <v>5.4292600000000003E-2</v>
      </c>
      <c r="J27" s="2">
        <f>SUMPRODUCT(('Benchmark-Runs'!$X$2:$X$161=A27&amp;"_"&amp;B27)*('Benchmark-Runs'!$F$2:$F$161))</f>
        <v>0.27146300000000001</v>
      </c>
      <c r="K27" s="2">
        <f>SUMPRODUCT(('Benchmark-Runs'!$X$2:$X$161=A27&amp;"_"&amp;B27)*('Benchmark-Runs'!$E$2:$E$161))/COUNTIF('Benchmark-Runs'!$X$2:$X$161,A27&amp;"_"&amp;B27)</f>
        <v>17.814</v>
      </c>
      <c r="L27" s="2">
        <f>SUMPRODUCT(('Benchmark-Runs'!$X$2:$X$161=A27&amp;"_"&amp;B27)*('Benchmark-Runs'!$I$2:$I$161))/COUNTIF('Benchmark-Runs'!$X$2:$X$161,A27&amp;"_"&amp;B27)</f>
        <v>24014.400000000001</v>
      </c>
      <c r="M27" s="2">
        <f>SUMPRODUCT(('Benchmark-Runs'!$X$2:$X$161=A27&amp;"_"&amp;B27)*('Benchmark-Runs'!$G$2:$G$161))/COUNTIF('Benchmark-Runs'!$X$2:$X$161,A27&amp;"_"&amp;B27)</f>
        <v>23013</v>
      </c>
      <c r="N27" s="2">
        <f>SUMPRODUCT(('Benchmark-Runs'!$X$2:$X$161=A27&amp;"_"&amp;B27)*('Benchmark-Runs'!$H$2:$H$161))/COUNTIF('Benchmark-Runs'!$X$2:$X$161,A27&amp;"_"&amp;B27)</f>
        <v>1001.4</v>
      </c>
      <c r="O27" s="2">
        <f t="shared" si="0"/>
        <v>5.42926E-4</v>
      </c>
      <c r="P27" s="2">
        <f>COUNTIF('Benchmark-Runs'!$X$2:$X$161,A27&amp;"_"&amp;B27)</f>
        <v>5</v>
      </c>
      <c r="Q27" s="4">
        <f>IFERROR(SUMPRODUCT(('Benchmark-Runs'!$X$2:$X$161=A27&amp;"_"&amp;B27)*('Benchmark-Runs'!$V$2:$V$161))/COUNTIF('Benchmark-Runs'!$X$2:$X$161,A27&amp;"_"&amp;B27),"-")</f>
        <v>3</v>
      </c>
    </row>
    <row r="28" spans="1:17" x14ac:dyDescent="0.25">
      <c r="A28" s="3" t="s">
        <v>52</v>
      </c>
      <c r="B28" s="2" t="s">
        <v>41</v>
      </c>
      <c r="C28" s="2" t="str">
        <f>_xlfn.XLOOKUP(Tabelle2[[#This Row],[Config]],Tabelle2!$A$1:$A$8,Tabelle2!$B$1:$B$8)</f>
        <v>P5</v>
      </c>
      <c r="D28" s="2" t="str">
        <f>Tabelle2[[#This Row],[Model]] &amp; " | " &amp; Tabelle2[[#This Row],[Spalte2]]</f>
        <v>gpt-5-chat | P5</v>
      </c>
      <c r="E28" s="2">
        <f>SUMPRODUCT(('Benchmark-Runs'!$X$2:$X$161=A28&amp;"_"&amp;B28)*('Benchmark-Runs'!$W$2:$W$161))/COUNTIF('Benchmark-Runs'!$X$2:$X$161,A28&amp;"_"&amp;B28)</f>
        <v>66.666666666666657</v>
      </c>
      <c r="F28" s="2">
        <f>IFERROR(SQRT(SUMPRODUCT(('Benchmark-Runs'!$X$2:$X$161=A28&amp;"_"&amp;B28)*('Benchmark-Runs'!$W$2:$W$161)^2)/COUNTIF('Benchmark-Runs'!$X$2:$X$161,A28&amp;"_"&amp;B28)-(SUMPRODUCT(('Benchmark-Runs'!$X$2:$X$161=A28&amp;"_"&amp;B28)*('Benchmark-Runs'!$W$2:$W$161))/COUNTIF('Benchmark-Runs'!$X$2:$X$161,A28&amp;"_"&amp;B28))^2),0)</f>
        <v>0</v>
      </c>
      <c r="G28" s="2">
        <f>_xlfn.SINGLE(_xlfn.MINIFS('Benchmark-Runs'!$W$2:$W$161,'Benchmark-Runs'!$X$2:$X$161,A28&amp;"_"&amp;B28))</f>
        <v>66.666666666666657</v>
      </c>
      <c r="H28" s="2">
        <f>_xlfn.SINGLE(_xlfn.MAXIFS('Benchmark-Runs'!$W$2:$W$161,'Benchmark-Runs'!$X$2:$X$161,A28&amp;"_"&amp;B28))</f>
        <v>66.666666666666657</v>
      </c>
      <c r="I28" s="2">
        <f>SUMPRODUCT(('Benchmark-Runs'!$X$2:$X$161=A28&amp;"_"&amp;B28)*('Benchmark-Runs'!$F$2:$F$161))/COUNTIF('Benchmark-Runs'!$X$2:$X$161,A28&amp;"_"&amp;B28)</f>
        <v>4.4316000000000001E-2</v>
      </c>
      <c r="J28" s="2">
        <f>SUMPRODUCT(('Benchmark-Runs'!$X$2:$X$161=A28&amp;"_"&amp;B28)*('Benchmark-Runs'!$F$2:$F$161))</f>
        <v>0.22158</v>
      </c>
      <c r="K28" s="2">
        <f>SUMPRODUCT(('Benchmark-Runs'!$X$2:$X$161=A28&amp;"_"&amp;B28)*('Benchmark-Runs'!$E$2:$E$161))/COUNTIF('Benchmark-Runs'!$X$2:$X$161,A28&amp;"_"&amp;B28)</f>
        <v>12.526</v>
      </c>
      <c r="L28" s="2">
        <f>SUMPRODUCT(('Benchmark-Runs'!$X$2:$X$161=A28&amp;"_"&amp;B28)*('Benchmark-Runs'!$I$2:$I$161))/COUNTIF('Benchmark-Runs'!$X$2:$X$161,A28&amp;"_"&amp;B28)</f>
        <v>24568.799999999999</v>
      </c>
      <c r="M28" s="2">
        <f>SUMPRODUCT(('Benchmark-Runs'!$X$2:$X$161=A28&amp;"_"&amp;B28)*('Benchmark-Runs'!$G$2:$G$161))/COUNTIF('Benchmark-Runs'!$X$2:$X$161,A28&amp;"_"&amp;B28)</f>
        <v>23014</v>
      </c>
      <c r="N28" s="2">
        <f>SUMPRODUCT(('Benchmark-Runs'!$X$2:$X$161=A28&amp;"_"&amp;B28)*('Benchmark-Runs'!$H$2:$H$161))/COUNTIF('Benchmark-Runs'!$X$2:$X$161,A28&amp;"_"&amp;B28)</f>
        <v>1554.8</v>
      </c>
      <c r="O28" s="2">
        <f t="shared" si="0"/>
        <v>6.6474000000000014E-4</v>
      </c>
      <c r="P28" s="2">
        <f>COUNTIF('Benchmark-Runs'!$X$2:$X$161,A28&amp;"_"&amp;B28)</f>
        <v>5</v>
      </c>
      <c r="Q28" s="4">
        <f>IFERROR(SUMPRODUCT(('Benchmark-Runs'!$X$2:$X$161=A28&amp;"_"&amp;B28)*('Benchmark-Runs'!$V$2:$V$161))/COUNTIF('Benchmark-Runs'!$X$2:$X$161,A28&amp;"_"&amp;B28),"-")</f>
        <v>3</v>
      </c>
    </row>
    <row r="29" spans="1:17" x14ac:dyDescent="0.25">
      <c r="A29" s="3" t="s">
        <v>53</v>
      </c>
      <c r="B29" s="2" t="s">
        <v>41</v>
      </c>
      <c r="C29" s="2" t="str">
        <f>_xlfn.XLOOKUP(Tabelle2[[#This Row],[Config]],Tabelle2!$A$1:$A$8,Tabelle2!$B$1:$B$8)</f>
        <v>P5</v>
      </c>
      <c r="D29" s="2" t="str">
        <f>Tabelle2[[#This Row],[Model]] &amp; " | " &amp; Tabelle2[[#This Row],[Spalte2]]</f>
        <v>gpt-5.2-chat | P5</v>
      </c>
      <c r="E29" s="2">
        <f>SUMPRODUCT(('Benchmark-Runs'!$X$2:$X$161=A29&amp;"_"&amp;B29)*('Benchmark-Runs'!$W$2:$W$161))/COUNTIF('Benchmark-Runs'!$X$2:$X$161,A29&amp;"_"&amp;B29)</f>
        <v>66.666666666666657</v>
      </c>
      <c r="F29" s="2">
        <f>IFERROR(SQRT(SUMPRODUCT(('Benchmark-Runs'!$X$2:$X$161=A29&amp;"_"&amp;B29)*('Benchmark-Runs'!$W$2:$W$161)^2)/COUNTIF('Benchmark-Runs'!$X$2:$X$161,A29&amp;"_"&amp;B29)-(SUMPRODUCT(('Benchmark-Runs'!$X$2:$X$161=A29&amp;"_"&amp;B29)*('Benchmark-Runs'!$W$2:$W$161))/COUNTIF('Benchmark-Runs'!$X$2:$X$161,A29&amp;"_"&amp;B29))^2),0)</f>
        <v>0</v>
      </c>
      <c r="G29" s="2">
        <f>_xlfn.SINGLE(_xlfn.MINIFS('Benchmark-Runs'!$W$2:$W$161,'Benchmark-Runs'!$X$2:$X$161,A29&amp;"_"&amp;B29))</f>
        <v>66.666666666666657</v>
      </c>
      <c r="H29" s="2">
        <f>_xlfn.SINGLE(_xlfn.MAXIFS('Benchmark-Runs'!$W$2:$W$161,'Benchmark-Runs'!$X$2:$X$161,A29&amp;"_"&amp;B29))</f>
        <v>66.666666666666657</v>
      </c>
      <c r="I29" s="2">
        <f>SUMPRODUCT(('Benchmark-Runs'!$X$2:$X$161=A29&amp;"_"&amp;B29)*('Benchmark-Runs'!$F$2:$F$161))/COUNTIF('Benchmark-Runs'!$X$2:$X$161,A29&amp;"_"&amp;B29)</f>
        <v>5.4119000000000007E-2</v>
      </c>
      <c r="J29" s="2">
        <f>SUMPRODUCT(('Benchmark-Runs'!$X$2:$X$161=A29&amp;"_"&amp;B29)*('Benchmark-Runs'!$F$2:$F$161))</f>
        <v>0.27059500000000003</v>
      </c>
      <c r="K29" s="2">
        <f>SUMPRODUCT(('Benchmark-Runs'!$X$2:$X$161=A29&amp;"_"&amp;B29)*('Benchmark-Runs'!$E$2:$E$161))/COUNTIF('Benchmark-Runs'!$X$2:$X$161,A29&amp;"_"&amp;B29)</f>
        <v>17.136000000000003</v>
      </c>
      <c r="L29" s="2">
        <f>SUMPRODUCT(('Benchmark-Runs'!$X$2:$X$161=A29&amp;"_"&amp;B29)*('Benchmark-Runs'!$I$2:$I$161))/COUNTIF('Benchmark-Runs'!$X$2:$X$161,A29&amp;"_"&amp;B29)</f>
        <v>24002</v>
      </c>
      <c r="M29" s="2">
        <f>SUMPRODUCT(('Benchmark-Runs'!$X$2:$X$161=A29&amp;"_"&amp;B29)*('Benchmark-Runs'!$G$2:$G$161))/COUNTIF('Benchmark-Runs'!$X$2:$X$161,A29&amp;"_"&amp;B29)</f>
        <v>23013</v>
      </c>
      <c r="N29" s="2">
        <f>SUMPRODUCT(('Benchmark-Runs'!$X$2:$X$161=A29&amp;"_"&amp;B29)*('Benchmark-Runs'!$H$2:$H$161))/COUNTIF('Benchmark-Runs'!$X$2:$X$161,A29&amp;"_"&amp;B29)</f>
        <v>989</v>
      </c>
      <c r="O29" s="2">
        <f t="shared" si="0"/>
        <v>8.117850000000002E-4</v>
      </c>
      <c r="P29" s="2">
        <f>COUNTIF('Benchmark-Runs'!$X$2:$X$161,A29&amp;"_"&amp;B29)</f>
        <v>5</v>
      </c>
      <c r="Q29" s="4">
        <f>IFERROR(SUMPRODUCT(('Benchmark-Runs'!$X$2:$X$161=A29&amp;"_"&amp;B29)*('Benchmark-Runs'!$V$2:$V$161))/COUNTIF('Benchmark-Runs'!$X$2:$X$161,A29&amp;"_"&amp;B29),"-")</f>
        <v>3</v>
      </c>
    </row>
    <row r="30" spans="1:17" x14ac:dyDescent="0.25">
      <c r="A30" s="3" t="s">
        <v>52</v>
      </c>
      <c r="B30" s="2" t="s">
        <v>47</v>
      </c>
      <c r="C30" s="2" t="str">
        <f>_xlfn.XLOOKUP(Tabelle2[[#This Row],[Config]],Tabelle2!$A$1:$A$8,Tabelle2!$B$1:$B$8)</f>
        <v>P1</v>
      </c>
      <c r="D30" s="2" t="str">
        <f>Tabelle2[[#This Row],[Model]] &amp; " | " &amp; Tabelle2[[#This Row],[Spalte2]]</f>
        <v>gpt-5-chat | P1</v>
      </c>
      <c r="E30" s="2">
        <f>SUMPRODUCT(('Benchmark-Runs'!$X$2:$X$161=A30&amp;"_"&amp;B30)*('Benchmark-Runs'!$W$2:$W$161))/COUNTIF('Benchmark-Runs'!$X$2:$X$161,A30&amp;"_"&amp;B30)</f>
        <v>100</v>
      </c>
      <c r="F30" s="2">
        <f>IFERROR(SQRT(SUMPRODUCT(('Benchmark-Runs'!$X$2:$X$161=A30&amp;"_"&amp;B30)*('Benchmark-Runs'!$W$2:$W$161)^2)/COUNTIF('Benchmark-Runs'!$X$2:$X$161,A30&amp;"_"&amp;B30)-(SUMPRODUCT(('Benchmark-Runs'!$X$2:$X$161=A30&amp;"_"&amp;B30)*('Benchmark-Runs'!$W$2:$W$161))/COUNTIF('Benchmark-Runs'!$X$2:$X$161,A30&amp;"_"&amp;B30))^2),0)</f>
        <v>0</v>
      </c>
      <c r="G30" s="2">
        <f>_xlfn.SINGLE(_xlfn.MINIFS('Benchmark-Runs'!$W$2:$W$161,'Benchmark-Runs'!$X$2:$X$161,A30&amp;"_"&amp;B30))</f>
        <v>100</v>
      </c>
      <c r="H30" s="2">
        <f>_xlfn.SINGLE(_xlfn.MAXIFS('Benchmark-Runs'!$W$2:$W$161,'Benchmark-Runs'!$X$2:$X$161,A30&amp;"_"&amp;B30))</f>
        <v>100</v>
      </c>
      <c r="I30" s="2">
        <f>SUMPRODUCT(('Benchmark-Runs'!$X$2:$X$161=A30&amp;"_"&amp;B30)*('Benchmark-Runs'!$F$2:$F$161))/COUNTIF('Benchmark-Runs'!$X$2:$X$161,A30&amp;"_"&amp;B30)</f>
        <v>0.15781999999999999</v>
      </c>
      <c r="J30" s="2">
        <f>SUMPRODUCT(('Benchmark-Runs'!$X$2:$X$161=A30&amp;"_"&amp;B30)*('Benchmark-Runs'!$F$2:$F$161))</f>
        <v>0.78909999999999991</v>
      </c>
      <c r="K30" s="2">
        <f>SUMPRODUCT(('Benchmark-Runs'!$X$2:$X$161=A30&amp;"_"&amp;B30)*('Benchmark-Runs'!$E$2:$E$161))/COUNTIF('Benchmark-Runs'!$X$2:$X$161,A30&amp;"_"&amp;B30)</f>
        <v>19.802</v>
      </c>
      <c r="L30" s="2">
        <f>SUMPRODUCT(('Benchmark-Runs'!$X$2:$X$161=A30&amp;"_"&amp;B30)*('Benchmark-Runs'!$I$2:$I$161))/COUNTIF('Benchmark-Runs'!$X$2:$X$161,A30&amp;"_"&amp;B30)</f>
        <v>113829.2</v>
      </c>
      <c r="M30" s="2">
        <f>SUMPRODUCT(('Benchmark-Runs'!$X$2:$X$161=A30&amp;"_"&amp;B30)*('Benchmark-Runs'!$G$2:$G$161))/COUNTIF('Benchmark-Runs'!$X$2:$X$161,A30&amp;"_"&amp;B30)</f>
        <v>112054</v>
      </c>
      <c r="N30" s="2">
        <f>SUMPRODUCT(('Benchmark-Runs'!$X$2:$X$161=A30&amp;"_"&amp;B30)*('Benchmark-Runs'!$H$2:$H$161))/COUNTIF('Benchmark-Runs'!$X$2:$X$161,A30&amp;"_"&amp;B30)</f>
        <v>1775.2</v>
      </c>
      <c r="O30" s="2">
        <f t="shared" si="0"/>
        <v>1.5781999999999999E-3</v>
      </c>
      <c r="P30" s="2">
        <f>COUNTIF('Benchmark-Runs'!$X$2:$X$161,A30&amp;"_"&amp;B30)</f>
        <v>5</v>
      </c>
      <c r="Q30" s="4">
        <f>IFERROR(SUMPRODUCT(('Benchmark-Runs'!$X$2:$X$161=A30&amp;"_"&amp;B30)*('Benchmark-Runs'!$V$2:$V$161))/COUNTIF('Benchmark-Runs'!$X$2:$X$161,A30&amp;"_"&amp;B30),"-")</f>
        <v>3</v>
      </c>
    </row>
    <row r="31" spans="1:17" x14ac:dyDescent="0.25">
      <c r="A31" s="3" t="s">
        <v>53</v>
      </c>
      <c r="B31" s="2" t="s">
        <v>47</v>
      </c>
      <c r="C31" s="2" t="str">
        <f>_xlfn.XLOOKUP(Tabelle2[[#This Row],[Config]],Tabelle2!$A$1:$A$8,Tabelle2!$B$1:$B$8)</f>
        <v>P1</v>
      </c>
      <c r="D31" s="2" t="str">
        <f>Tabelle2[[#This Row],[Model]] &amp; " | " &amp; Tabelle2[[#This Row],[Spalte2]]</f>
        <v>gpt-5.2-chat | P1</v>
      </c>
      <c r="E31" s="2">
        <f>SUMPRODUCT(('Benchmark-Runs'!$X$2:$X$161=A31&amp;"_"&amp;B31)*('Benchmark-Runs'!$W$2:$W$161))/COUNTIF('Benchmark-Runs'!$X$2:$X$161,A31&amp;"_"&amp;B31)</f>
        <v>100</v>
      </c>
      <c r="F31" s="2">
        <f>IFERROR(SQRT(SUMPRODUCT(('Benchmark-Runs'!$X$2:$X$161=A31&amp;"_"&amp;B31)*('Benchmark-Runs'!$W$2:$W$161)^2)/COUNTIF('Benchmark-Runs'!$X$2:$X$161,A31&amp;"_"&amp;B31)-(SUMPRODUCT(('Benchmark-Runs'!$X$2:$X$161=A31&amp;"_"&amp;B31)*('Benchmark-Runs'!$W$2:$W$161))/COUNTIF('Benchmark-Runs'!$X$2:$X$161,A31&amp;"_"&amp;B31))^2),0)</f>
        <v>0</v>
      </c>
      <c r="G31" s="2">
        <f>_xlfn.SINGLE(_xlfn.MINIFS('Benchmark-Runs'!$W$2:$W$161,'Benchmark-Runs'!$X$2:$X$161,A31&amp;"_"&amp;B31))</f>
        <v>100</v>
      </c>
      <c r="H31" s="2">
        <f>_xlfn.SINGLE(_xlfn.MAXIFS('Benchmark-Runs'!$W$2:$W$161,'Benchmark-Runs'!$X$2:$X$161,A31&amp;"_"&amp;B31))</f>
        <v>100</v>
      </c>
      <c r="I31" s="2">
        <f>SUMPRODUCT(('Benchmark-Runs'!$X$2:$X$161=A31&amp;"_"&amp;B31)*('Benchmark-Runs'!$F$2:$F$161))/COUNTIF('Benchmark-Runs'!$X$2:$X$161,A31&amp;"_"&amp;B31)</f>
        <v>0.22221000000000002</v>
      </c>
      <c r="J31" s="2">
        <f>SUMPRODUCT(('Benchmark-Runs'!$X$2:$X$161=A31&amp;"_"&amp;B31)*('Benchmark-Runs'!$F$2:$F$161))</f>
        <v>1.1110500000000001</v>
      </c>
      <c r="K31" s="2">
        <f>SUMPRODUCT(('Benchmark-Runs'!$X$2:$X$161=A31&amp;"_"&amp;B31)*('Benchmark-Runs'!$E$2:$E$161))/COUNTIF('Benchmark-Runs'!$X$2:$X$161,A31&amp;"_"&amp;B31)</f>
        <v>39.786000000000001</v>
      </c>
      <c r="L31" s="2">
        <f>SUMPRODUCT(('Benchmark-Runs'!$X$2:$X$161=A31&amp;"_"&amp;B31)*('Benchmark-Runs'!$I$2:$I$161))/COUNTIF('Benchmark-Runs'!$X$2:$X$161,A31&amp;"_"&amp;B31)</f>
        <v>113915</v>
      </c>
      <c r="M31" s="2">
        <f>SUMPRODUCT(('Benchmark-Runs'!$X$2:$X$161=A31&amp;"_"&amp;B31)*('Benchmark-Runs'!$G$2:$G$161))/COUNTIF('Benchmark-Runs'!$X$2:$X$161,A31&amp;"_"&amp;B31)</f>
        <v>112049</v>
      </c>
      <c r="N31" s="2">
        <f>SUMPRODUCT(('Benchmark-Runs'!$X$2:$X$161=A31&amp;"_"&amp;B31)*('Benchmark-Runs'!$H$2:$H$161))/COUNTIF('Benchmark-Runs'!$X$2:$X$161,A31&amp;"_"&amp;B31)</f>
        <v>1866</v>
      </c>
      <c r="O31" s="2">
        <f t="shared" si="0"/>
        <v>2.2221000000000003E-3</v>
      </c>
      <c r="P31" s="2">
        <f>COUNTIF('Benchmark-Runs'!$X$2:$X$161,A31&amp;"_"&amp;B31)</f>
        <v>5</v>
      </c>
      <c r="Q31" s="4">
        <f>IFERROR(SUMPRODUCT(('Benchmark-Runs'!$X$2:$X$161=A31&amp;"_"&amp;B31)*('Benchmark-Runs'!$V$2:$V$161))/COUNTIF('Benchmark-Runs'!$X$2:$X$161,A31&amp;"_"&amp;B31),"-")</f>
        <v>3</v>
      </c>
    </row>
    <row r="32" spans="1:17" x14ac:dyDescent="0.25">
      <c r="A32" s="3" t="s">
        <v>52</v>
      </c>
      <c r="B32" s="2" t="s">
        <v>46</v>
      </c>
      <c r="C32" s="2" t="str">
        <f>_xlfn.XLOOKUP(Tabelle2[[#This Row],[Config]],Tabelle2!$A$1:$A$8,Tabelle2!$B$1:$B$8)</f>
        <v>P4</v>
      </c>
      <c r="D32" s="2" t="str">
        <f>Tabelle2[[#This Row],[Model]] &amp; " | " &amp; Tabelle2[[#This Row],[Spalte2]]</f>
        <v>gpt-5-chat | P4</v>
      </c>
      <c r="E32" s="2">
        <f>SUMPRODUCT(('Benchmark-Runs'!$X$2:$X$161=A32&amp;"_"&amp;B32)*('Benchmark-Runs'!$W$2:$W$161))/COUNTIF('Benchmark-Runs'!$X$2:$X$161,A32&amp;"_"&amp;B32)</f>
        <v>66.666666666666657</v>
      </c>
      <c r="F32" s="2">
        <f>IFERROR(SQRT(SUMPRODUCT(('Benchmark-Runs'!$X$2:$X$161=A32&amp;"_"&amp;B32)*('Benchmark-Runs'!$W$2:$W$161)^2)/COUNTIF('Benchmark-Runs'!$X$2:$X$161,A32&amp;"_"&amp;B32)-(SUMPRODUCT(('Benchmark-Runs'!$X$2:$X$161=A32&amp;"_"&amp;B32)*('Benchmark-Runs'!$W$2:$W$161))/COUNTIF('Benchmark-Runs'!$X$2:$X$161,A32&amp;"_"&amp;B32))^2),0)</f>
        <v>0</v>
      </c>
      <c r="G32" s="2">
        <f>_xlfn.SINGLE(_xlfn.MINIFS('Benchmark-Runs'!$W$2:$W$161,'Benchmark-Runs'!$X$2:$X$161,A32&amp;"_"&amp;B32))</f>
        <v>66.666666666666657</v>
      </c>
      <c r="H32" s="2">
        <f>_xlfn.SINGLE(_xlfn.MAXIFS('Benchmark-Runs'!$W$2:$W$161,'Benchmark-Runs'!$X$2:$X$161,A32&amp;"_"&amp;B32))</f>
        <v>66.666666666666657</v>
      </c>
      <c r="I32" s="2">
        <f>SUMPRODUCT(('Benchmark-Runs'!$X$2:$X$161=A32&amp;"_"&amp;B32)*('Benchmark-Runs'!$F$2:$F$161))/COUNTIF('Benchmark-Runs'!$X$2:$X$161,A32&amp;"_"&amp;B32)</f>
        <v>0.15745400000000001</v>
      </c>
      <c r="J32" s="2">
        <f>SUMPRODUCT(('Benchmark-Runs'!$X$2:$X$161=A32&amp;"_"&amp;B32)*('Benchmark-Runs'!$F$2:$F$161))</f>
        <v>0.78727000000000003</v>
      </c>
      <c r="K32" s="2">
        <f>SUMPRODUCT(('Benchmark-Runs'!$X$2:$X$161=A32&amp;"_"&amp;B32)*('Benchmark-Runs'!$E$2:$E$161))/COUNTIF('Benchmark-Runs'!$X$2:$X$161,A32&amp;"_"&amp;B32)</f>
        <v>20.552</v>
      </c>
      <c r="L32" s="2">
        <f>SUMPRODUCT(('Benchmark-Runs'!$X$2:$X$161=A32&amp;"_"&amp;B32)*('Benchmark-Runs'!$I$2:$I$161))/COUNTIF('Benchmark-Runs'!$X$2:$X$161,A32&amp;"_"&amp;B32)</f>
        <v>113792.6</v>
      </c>
      <c r="M32" s="2">
        <f>SUMPRODUCT(('Benchmark-Runs'!$X$2:$X$161=A32&amp;"_"&amp;B32)*('Benchmark-Runs'!$G$2:$G$161))/COUNTIF('Benchmark-Runs'!$X$2:$X$161,A32&amp;"_"&amp;B32)</f>
        <v>112054</v>
      </c>
      <c r="N32" s="2">
        <f>SUMPRODUCT(('Benchmark-Runs'!$X$2:$X$161=A32&amp;"_"&amp;B32)*('Benchmark-Runs'!$H$2:$H$161))/COUNTIF('Benchmark-Runs'!$X$2:$X$161,A32&amp;"_"&amp;B32)</f>
        <v>1738.6</v>
      </c>
      <c r="O32" s="2">
        <f t="shared" si="0"/>
        <v>2.3618100000000006E-3</v>
      </c>
      <c r="P32" s="2">
        <f>COUNTIF('Benchmark-Runs'!$X$2:$X$161,A32&amp;"_"&amp;B32)</f>
        <v>5</v>
      </c>
      <c r="Q32" s="4">
        <f>IFERROR(SUMPRODUCT(('Benchmark-Runs'!$X$2:$X$161=A32&amp;"_"&amp;B32)*('Benchmark-Runs'!$V$2:$V$161))/COUNTIF('Benchmark-Runs'!$X$2:$X$161,A32&amp;"_"&amp;B32),"-")</f>
        <v>3</v>
      </c>
    </row>
    <row r="33" spans="1:17" x14ac:dyDescent="0.25">
      <c r="A33" s="8" t="s">
        <v>53</v>
      </c>
      <c r="B33" s="9" t="s">
        <v>46</v>
      </c>
      <c r="C33" s="2" t="str">
        <f>_xlfn.XLOOKUP(Tabelle2[[#This Row],[Config]],Tabelle2!$A$1:$A$8,Tabelle2!$B$1:$B$8)</f>
        <v>P4</v>
      </c>
      <c r="D33" s="9" t="str">
        <f>Tabelle2[[#This Row],[Model]] &amp; " | " &amp; Tabelle2[[#This Row],[Spalte2]]</f>
        <v>gpt-5.2-chat | P4</v>
      </c>
      <c r="E33" s="9">
        <f>SUMPRODUCT(('Benchmark-Runs'!$X$2:$X$161=A33&amp;"_"&amp;B33)*('Benchmark-Runs'!$W$2:$W$161))/COUNTIF('Benchmark-Runs'!$X$2:$X$161,A33&amp;"_"&amp;B33)</f>
        <v>66.666666666666657</v>
      </c>
      <c r="F33" s="9">
        <f>IFERROR(SQRT(SUMPRODUCT(('Benchmark-Runs'!$X$2:$X$161=A33&amp;"_"&amp;B33)*('Benchmark-Runs'!$W$2:$W$161)^2)/COUNTIF('Benchmark-Runs'!$X$2:$X$161,A33&amp;"_"&amp;B33)-(SUMPRODUCT(('Benchmark-Runs'!$X$2:$X$161=A33&amp;"_"&amp;B33)*('Benchmark-Runs'!$W$2:$W$161))/COUNTIF('Benchmark-Runs'!$X$2:$X$161,A33&amp;"_"&amp;B33))^2),0)</f>
        <v>0</v>
      </c>
      <c r="G33" s="9">
        <f>_xlfn.SINGLE(_xlfn.MINIFS('Benchmark-Runs'!$W$2:$W$161,'Benchmark-Runs'!$X$2:$X$161,A33&amp;"_"&amp;B33))</f>
        <v>66.666666666666657</v>
      </c>
      <c r="H33" s="9">
        <f>_xlfn.SINGLE(_xlfn.MAXIFS('Benchmark-Runs'!$W$2:$W$161,'Benchmark-Runs'!$X$2:$X$161,A33&amp;"_"&amp;B33))</f>
        <v>66.666666666666657</v>
      </c>
      <c r="I33" s="9">
        <f>SUMPRODUCT(('Benchmark-Runs'!$X$2:$X$161=A33&amp;"_"&amp;B33)*('Benchmark-Runs'!$F$2:$F$161))/COUNTIF('Benchmark-Runs'!$X$2:$X$161,A33&amp;"_"&amp;B33)</f>
        <v>0.22026399999999996</v>
      </c>
      <c r="J33" s="9">
        <f>SUMPRODUCT(('Benchmark-Runs'!$X$2:$X$161=A33&amp;"_"&amp;B33)*('Benchmark-Runs'!$F$2:$F$161))</f>
        <v>1.1013199999999999</v>
      </c>
      <c r="K33" s="9">
        <f>SUMPRODUCT(('Benchmark-Runs'!$X$2:$X$161=A33&amp;"_"&amp;B33)*('Benchmark-Runs'!$E$2:$E$161))/COUNTIF('Benchmark-Runs'!$X$2:$X$161,A33&amp;"_"&amp;B33)</f>
        <v>40.35</v>
      </c>
      <c r="L33" s="9">
        <f>SUMPRODUCT(('Benchmark-Runs'!$X$2:$X$161=A33&amp;"_"&amp;B33)*('Benchmark-Runs'!$I$2:$I$161))/COUNTIF('Benchmark-Runs'!$X$2:$X$161,A33&amp;"_"&amp;B33)</f>
        <v>113776</v>
      </c>
      <c r="M33" s="9">
        <f>SUMPRODUCT(('Benchmark-Runs'!$X$2:$X$161=A33&amp;"_"&amp;B33)*('Benchmark-Runs'!$G$2:$G$161))/COUNTIF('Benchmark-Runs'!$X$2:$X$161,A33&amp;"_"&amp;B33)</f>
        <v>112049</v>
      </c>
      <c r="N33" s="9">
        <f>SUMPRODUCT(('Benchmark-Runs'!$X$2:$X$161=A33&amp;"_"&amp;B33)*('Benchmark-Runs'!$H$2:$H$161))/COUNTIF('Benchmark-Runs'!$X$2:$X$161,A33&amp;"_"&amp;B33)</f>
        <v>1727</v>
      </c>
      <c r="O33" s="9">
        <f t="shared" si="0"/>
        <v>3.3039599999999999E-3</v>
      </c>
      <c r="P33" s="9">
        <f>COUNTIF('Benchmark-Runs'!$X$2:$X$161,A33&amp;"_"&amp;B33)</f>
        <v>5</v>
      </c>
      <c r="Q33" s="10">
        <f>IFERROR(SUMPRODUCT(('Benchmark-Runs'!$X$2:$X$161=A33&amp;"_"&amp;B33)*('Benchmark-Runs'!$V$2:$V$161))/COUNTIF('Benchmark-Runs'!$X$2:$X$161,A33&amp;"_"&amp;B33),"-")</f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836D-42A1-40AA-818B-E6A42C3CE291}">
  <dimension ref="A1:B8"/>
  <sheetViews>
    <sheetView workbookViewId="0">
      <selection activeCell="G13" sqref="G13"/>
    </sheetView>
  </sheetViews>
  <sheetFormatPr baseColWidth="10" defaultRowHeight="15" x14ac:dyDescent="0.25"/>
  <cols>
    <col min="1" max="1" width="25.140625" bestFit="1" customWidth="1"/>
  </cols>
  <sheetData>
    <row r="1" spans="1:2" x14ac:dyDescent="0.25">
      <c r="A1" t="s">
        <v>47</v>
      </c>
      <c r="B1" t="s">
        <v>119</v>
      </c>
    </row>
    <row r="2" spans="1:2" x14ac:dyDescent="0.25">
      <c r="A2" t="s">
        <v>56</v>
      </c>
      <c r="B2" t="s">
        <v>120</v>
      </c>
    </row>
    <row r="3" spans="1:2" x14ac:dyDescent="0.25">
      <c r="A3" t="s">
        <v>57</v>
      </c>
      <c r="B3" t="s">
        <v>121</v>
      </c>
    </row>
    <row r="4" spans="1:2" x14ac:dyDescent="0.25">
      <c r="A4" t="s">
        <v>46</v>
      </c>
      <c r="B4" t="s">
        <v>122</v>
      </c>
    </row>
    <row r="5" spans="1:2" x14ac:dyDescent="0.25">
      <c r="A5" t="s">
        <v>41</v>
      </c>
      <c r="B5" t="s">
        <v>123</v>
      </c>
    </row>
    <row r="6" spans="1:2" x14ac:dyDescent="0.25">
      <c r="A6" t="s">
        <v>44</v>
      </c>
      <c r="B6" t="s">
        <v>124</v>
      </c>
    </row>
    <row r="7" spans="1:2" x14ac:dyDescent="0.25">
      <c r="A7" t="s">
        <v>58</v>
      </c>
      <c r="B7" t="s">
        <v>125</v>
      </c>
    </row>
    <row r="8" spans="1:2" x14ac:dyDescent="0.25">
      <c r="A8" t="s">
        <v>48</v>
      </c>
      <c r="B8" t="s">
        <v>126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8569-35AA-45FE-A531-4624D680825C}">
  <dimension ref="A2:F47"/>
  <sheetViews>
    <sheetView zoomScale="85" zoomScaleNormal="85" workbookViewId="0">
      <selection activeCell="O13" sqref="O13"/>
    </sheetView>
  </sheetViews>
  <sheetFormatPr baseColWidth="10" defaultRowHeight="15" x14ac:dyDescent="0.25"/>
  <cols>
    <col min="1" max="1" width="14.140625" style="13" bestFit="1" customWidth="1"/>
    <col min="2" max="2" width="4.28515625" style="13" customWidth="1"/>
    <col min="3" max="3" width="7.7109375" style="13" customWidth="1"/>
    <col min="4" max="4" width="12.7109375" style="13" bestFit="1" customWidth="1"/>
    <col min="5" max="5" width="12.28515625" style="13" customWidth="1"/>
    <col min="6" max="6" width="7.7109375" style="13" customWidth="1"/>
    <col min="7" max="16384" width="11.42578125" style="13"/>
  </cols>
  <sheetData>
    <row r="2" spans="1:6" s="12" customFormat="1" ht="30" customHeight="1" x14ac:dyDescent="0.25">
      <c r="B2" s="12" t="s">
        <v>17</v>
      </c>
      <c r="C2" s="12" t="s">
        <v>42</v>
      </c>
      <c r="D2" s="12" t="s">
        <v>49</v>
      </c>
      <c r="E2" s="12" t="s">
        <v>52</v>
      </c>
      <c r="F2" s="12" t="s">
        <v>53</v>
      </c>
    </row>
    <row r="3" spans="1:6" x14ac:dyDescent="0.25">
      <c r="B3" s="13" t="s">
        <v>119</v>
      </c>
      <c r="C3" s="11">
        <v>100</v>
      </c>
      <c r="D3" s="11">
        <v>100</v>
      </c>
      <c r="E3" s="11">
        <v>100</v>
      </c>
      <c r="F3" s="11">
        <v>100</v>
      </c>
    </row>
    <row r="4" spans="1:6" x14ac:dyDescent="0.25">
      <c r="B4" s="13" t="s">
        <v>120</v>
      </c>
      <c r="C4" s="11">
        <v>100</v>
      </c>
      <c r="D4" s="11">
        <v>86.7</v>
      </c>
      <c r="E4" s="11">
        <v>100</v>
      </c>
      <c r="F4" s="11">
        <v>100</v>
      </c>
    </row>
    <row r="5" spans="1:6" x14ac:dyDescent="0.25">
      <c r="B5" s="13" t="s">
        <v>121</v>
      </c>
      <c r="C5" s="11">
        <v>100</v>
      </c>
      <c r="D5" s="11">
        <v>80</v>
      </c>
      <c r="E5" s="11">
        <v>100</v>
      </c>
      <c r="F5" s="11">
        <v>100</v>
      </c>
    </row>
    <row r="6" spans="1:6" x14ac:dyDescent="0.25">
      <c r="B6" s="13" t="s">
        <v>122</v>
      </c>
      <c r="C6" s="11">
        <v>86.7</v>
      </c>
      <c r="D6" s="11">
        <v>60</v>
      </c>
      <c r="E6" s="11">
        <v>66.7</v>
      </c>
      <c r="F6" s="11">
        <v>66.7</v>
      </c>
    </row>
    <row r="7" spans="1:6" x14ac:dyDescent="0.25">
      <c r="B7" s="13" t="s">
        <v>123</v>
      </c>
      <c r="C7" s="11">
        <v>73.3</v>
      </c>
      <c r="D7" s="11">
        <v>53.3</v>
      </c>
      <c r="E7" s="11">
        <v>66.7</v>
      </c>
      <c r="F7" s="11">
        <v>66.7</v>
      </c>
    </row>
    <row r="8" spans="1:6" x14ac:dyDescent="0.25">
      <c r="B8" s="13" t="s">
        <v>124</v>
      </c>
      <c r="C8" s="11">
        <v>73.3</v>
      </c>
      <c r="D8" s="11">
        <v>66.7</v>
      </c>
      <c r="E8" s="11">
        <v>73.3</v>
      </c>
      <c r="F8" s="11">
        <v>93.3</v>
      </c>
    </row>
    <row r="9" spans="1:6" x14ac:dyDescent="0.25">
      <c r="B9" s="13" t="s">
        <v>125</v>
      </c>
      <c r="C9" s="11">
        <v>80</v>
      </c>
      <c r="D9" s="11">
        <v>86.7</v>
      </c>
      <c r="E9" s="11">
        <v>100</v>
      </c>
      <c r="F9" s="11">
        <v>93.3</v>
      </c>
    </row>
    <row r="10" spans="1:6" x14ac:dyDescent="0.25">
      <c r="B10" s="13" t="s">
        <v>126</v>
      </c>
      <c r="C10" s="11">
        <v>66.7</v>
      </c>
      <c r="D10" s="11">
        <v>66.7</v>
      </c>
      <c r="E10" s="11">
        <v>66.7</v>
      </c>
      <c r="F10" s="11">
        <v>53.3</v>
      </c>
    </row>
    <row r="13" spans="1:6" x14ac:dyDescent="0.25">
      <c r="A13" s="13" t="s">
        <v>129</v>
      </c>
      <c r="C13" s="13">
        <v>1000</v>
      </c>
      <c r="D13" s="13" t="s">
        <v>130</v>
      </c>
    </row>
    <row r="15" spans="1:6" x14ac:dyDescent="0.25">
      <c r="C15" s="13" t="s">
        <v>131</v>
      </c>
      <c r="D15" s="13" t="s">
        <v>132</v>
      </c>
      <c r="E15" s="13" t="s">
        <v>133</v>
      </c>
    </row>
    <row r="16" spans="1:6" x14ac:dyDescent="0.25">
      <c r="A16" s="13" t="str">
        <f>'★ Ablation-Study'!D2</f>
        <v>gpt-4o-mini | P7</v>
      </c>
      <c r="C16" s="13">
        <f>'★ Ablation-Study'!E2</f>
        <v>80</v>
      </c>
      <c r="D16" s="15">
        <f>'★ Ablation-Study'!I2*$C$13</f>
        <v>0.9244</v>
      </c>
      <c r="E16" s="14">
        <f>D16/C16</f>
        <v>1.1554999999999999E-2</v>
      </c>
    </row>
    <row r="17" spans="1:5" x14ac:dyDescent="0.25">
      <c r="A17" s="13" t="str">
        <f>'★ Ablation-Study'!D3</f>
        <v>gpt-4o-mini | P8</v>
      </c>
      <c r="C17" s="13">
        <f>'★ Ablation-Study'!E3</f>
        <v>66.666666666666657</v>
      </c>
      <c r="D17" s="15">
        <f>'★ Ablation-Study'!I3*$C$13</f>
        <v>0.94099999999999995</v>
      </c>
      <c r="E17" s="14">
        <f t="shared" ref="E17:E47" si="0">D17/C17</f>
        <v>1.4115000000000001E-2</v>
      </c>
    </row>
    <row r="18" spans="1:5" x14ac:dyDescent="0.25">
      <c r="A18" s="13" t="str">
        <f>'★ Ablation-Study'!D4</f>
        <v>gpt-4o-mini | P3</v>
      </c>
      <c r="C18" s="13">
        <f>'★ Ablation-Study'!E4</f>
        <v>100</v>
      </c>
      <c r="D18" s="15">
        <f>'★ Ablation-Study'!I4*$C$13</f>
        <v>1.4120000000000001</v>
      </c>
      <c r="E18" s="14">
        <f t="shared" si="0"/>
        <v>1.4120000000000001E-2</v>
      </c>
    </row>
    <row r="19" spans="1:5" x14ac:dyDescent="0.25">
      <c r="A19" s="13" t="str">
        <f>'★ Ablation-Study'!D5</f>
        <v>gpt-4o-mini | P6</v>
      </c>
      <c r="C19" s="13">
        <f>'★ Ablation-Study'!E5</f>
        <v>73.333333333333329</v>
      </c>
      <c r="D19" s="15">
        <f>'★ Ablation-Study'!I5*$C$13</f>
        <v>1.3900000000000001</v>
      </c>
      <c r="E19" s="14">
        <f t="shared" si="0"/>
        <v>1.8954545454545457E-2</v>
      </c>
    </row>
    <row r="20" spans="1:5" x14ac:dyDescent="0.25">
      <c r="A20" s="13" t="str">
        <f>'★ Ablation-Study'!D6</f>
        <v>gpt-4o-mini | P2</v>
      </c>
      <c r="C20" s="13">
        <f>'★ Ablation-Study'!E6</f>
        <v>100</v>
      </c>
      <c r="D20" s="15">
        <f>'★ Ablation-Study'!I6*$C$13</f>
        <v>3.8786000000000005</v>
      </c>
      <c r="E20" s="14">
        <f t="shared" si="0"/>
        <v>3.8786000000000008E-2</v>
      </c>
    </row>
    <row r="21" spans="1:5" x14ac:dyDescent="0.25">
      <c r="A21" s="13" t="str">
        <f>'★ Ablation-Study'!D7</f>
        <v>gpt-5-nano | P7</v>
      </c>
      <c r="C21" s="13">
        <f>'★ Ablation-Study'!E7</f>
        <v>86.666666666666657</v>
      </c>
      <c r="D21" s="15">
        <f>'★ Ablation-Study'!I7*$C$13</f>
        <v>3.6</v>
      </c>
      <c r="E21" s="14">
        <f t="shared" si="0"/>
        <v>4.1538461538461545E-2</v>
      </c>
    </row>
    <row r="22" spans="1:5" x14ac:dyDescent="0.25">
      <c r="A22" s="13" t="str">
        <f>'★ Ablation-Study'!D8</f>
        <v>gpt-4o-mini | P5</v>
      </c>
      <c r="C22" s="13">
        <f>'★ Ablation-Study'!E8</f>
        <v>73.333333333333329</v>
      </c>
      <c r="D22" s="15">
        <f>'★ Ablation-Study'!I8*$C$13</f>
        <v>3.9115999999999995</v>
      </c>
      <c r="E22" s="14">
        <f t="shared" si="0"/>
        <v>5.3339999999999999E-2</v>
      </c>
    </row>
    <row r="23" spans="1:5" x14ac:dyDescent="0.25">
      <c r="A23" s="13" t="str">
        <f>'★ Ablation-Study'!D9</f>
        <v>gpt-5-nano | P2</v>
      </c>
      <c r="C23" s="13">
        <f>'★ Ablation-Study'!E9</f>
        <v>86.666666666666657</v>
      </c>
      <c r="D23" s="15">
        <f>'★ Ablation-Study'!I9*$C$13</f>
        <v>4.7094000000000005</v>
      </c>
      <c r="E23" s="14">
        <f t="shared" si="0"/>
        <v>5.4339230769230779E-2</v>
      </c>
    </row>
    <row r="24" spans="1:5" x14ac:dyDescent="0.25">
      <c r="A24" s="13" t="str">
        <f>'★ Ablation-Study'!D10</f>
        <v>gpt-5-nano | P8</v>
      </c>
      <c r="C24" s="13">
        <f>'★ Ablation-Study'!E10</f>
        <v>66.666666666666657</v>
      </c>
      <c r="D24" s="15">
        <f>'★ Ablation-Study'!I10*$C$13</f>
        <v>4.8608000000000002</v>
      </c>
      <c r="E24" s="14">
        <f t="shared" si="0"/>
        <v>7.2912000000000018E-2</v>
      </c>
    </row>
    <row r="25" spans="1:5" x14ac:dyDescent="0.25">
      <c r="A25" s="13" t="str">
        <f>'★ Ablation-Study'!D11</f>
        <v>gpt-5-nano | P5</v>
      </c>
      <c r="C25" s="13">
        <f>'★ Ablation-Study'!E11</f>
        <v>53.333333333333329</v>
      </c>
      <c r="D25" s="15">
        <f>'★ Ablation-Study'!I11*$C$13</f>
        <v>5.4664000000000001</v>
      </c>
      <c r="E25" s="14">
        <f t="shared" si="0"/>
        <v>0.10249500000000002</v>
      </c>
    </row>
    <row r="26" spans="1:5" x14ac:dyDescent="0.25">
      <c r="A26" s="13" t="str">
        <f>'★ Ablation-Study'!D12</f>
        <v>gpt-5-nano | P3</v>
      </c>
      <c r="C26" s="13">
        <f>'★ Ablation-Study'!E12</f>
        <v>80</v>
      </c>
      <c r="D26" s="15">
        <f>'★ Ablation-Study'!I12*$C$13</f>
        <v>9.1776000000000018</v>
      </c>
      <c r="E26" s="14">
        <f t="shared" si="0"/>
        <v>0.11472000000000002</v>
      </c>
    </row>
    <row r="27" spans="1:5" x14ac:dyDescent="0.25">
      <c r="A27" s="13" t="str">
        <f>'★ Ablation-Study'!D13</f>
        <v>gpt-5-nano | P6</v>
      </c>
      <c r="C27" s="13">
        <f>'★ Ablation-Study'!E13</f>
        <v>66.666666666666657</v>
      </c>
      <c r="D27" s="15">
        <f>'★ Ablation-Study'!I13*$C$13</f>
        <v>8.6820000000000004</v>
      </c>
      <c r="E27" s="14">
        <f t="shared" si="0"/>
        <v>0.13023000000000001</v>
      </c>
    </row>
    <row r="28" spans="1:5" x14ac:dyDescent="0.25">
      <c r="A28" s="13" t="str">
        <f>'★ Ablation-Study'!D14</f>
        <v>gpt-5-nano | P1</v>
      </c>
      <c r="C28" s="13">
        <f>'★ Ablation-Study'!E14</f>
        <v>100</v>
      </c>
      <c r="D28" s="15">
        <f>'★ Ablation-Study'!I14*$C$13</f>
        <v>13.093999999999999</v>
      </c>
      <c r="E28" s="14">
        <f t="shared" si="0"/>
        <v>0.13094</v>
      </c>
    </row>
    <row r="29" spans="1:5" x14ac:dyDescent="0.25">
      <c r="A29" s="13" t="str">
        <f>'★ Ablation-Study'!D15</f>
        <v>gpt-4o-mini | P1</v>
      </c>
      <c r="C29" s="13">
        <f>'★ Ablation-Study'!E15</f>
        <v>100</v>
      </c>
      <c r="D29" s="15">
        <f>'★ Ablation-Study'!I15*$C$13</f>
        <v>17.584200000000003</v>
      </c>
      <c r="E29" s="14">
        <f t="shared" si="0"/>
        <v>0.17584200000000003</v>
      </c>
    </row>
    <row r="30" spans="1:5" x14ac:dyDescent="0.25">
      <c r="A30" s="13" t="str">
        <f>'★ Ablation-Study'!D16</f>
        <v>gpt-5-chat | P7</v>
      </c>
      <c r="C30" s="13">
        <f>'★ Ablation-Study'!E16</f>
        <v>100</v>
      </c>
      <c r="D30" s="15">
        <f>'★ Ablation-Study'!I16*$C$13</f>
        <v>19.652000000000001</v>
      </c>
      <c r="E30" s="14">
        <f t="shared" si="0"/>
        <v>0.19652</v>
      </c>
    </row>
    <row r="31" spans="1:5" x14ac:dyDescent="0.25">
      <c r="A31" s="13" t="str">
        <f>'★ Ablation-Study'!D17</f>
        <v>gpt-4o-mini | P4</v>
      </c>
      <c r="C31" s="13">
        <f>'★ Ablation-Study'!E17</f>
        <v>86.666666666666657</v>
      </c>
      <c r="D31" s="15">
        <f>'★ Ablation-Study'!I17*$C$13</f>
        <v>17.32</v>
      </c>
      <c r="E31" s="14">
        <f t="shared" si="0"/>
        <v>0.19984615384615387</v>
      </c>
    </row>
    <row r="32" spans="1:5" x14ac:dyDescent="0.25">
      <c r="A32" s="13" t="str">
        <f>'★ Ablation-Study'!D18</f>
        <v>gpt-5-nano | P4</v>
      </c>
      <c r="C32" s="13">
        <f>'★ Ablation-Study'!E18</f>
        <v>60</v>
      </c>
      <c r="D32" s="15">
        <f>'★ Ablation-Study'!I18*$C$13</f>
        <v>13.001999999999999</v>
      </c>
      <c r="E32" s="14">
        <f t="shared" si="0"/>
        <v>0.21669999999999998</v>
      </c>
    </row>
    <row r="33" spans="1:5" x14ac:dyDescent="0.25">
      <c r="A33" s="13" t="str">
        <f>'★ Ablation-Study'!D19</f>
        <v>gpt-5.2-chat | P7</v>
      </c>
      <c r="C33" s="13">
        <f>'★ Ablation-Study'!E19</f>
        <v>93.333333333333329</v>
      </c>
      <c r="D33" s="15">
        <f>'★ Ablation-Study'!I19*$C$13</f>
        <v>21.887999999999998</v>
      </c>
      <c r="E33" s="14">
        <f t="shared" si="0"/>
        <v>0.2345142857142857</v>
      </c>
    </row>
    <row r="34" spans="1:5" x14ac:dyDescent="0.25">
      <c r="A34" s="13" t="str">
        <f>'★ Ablation-Study'!D20</f>
        <v>gpt-5-chat | P3</v>
      </c>
      <c r="C34" s="13">
        <f>'★ Ablation-Study'!E20</f>
        <v>100</v>
      </c>
      <c r="D34" s="15">
        <f>'★ Ablation-Study'!I20*$C$13</f>
        <v>25.878</v>
      </c>
      <c r="E34" s="14">
        <f t="shared" si="0"/>
        <v>0.25878000000000001</v>
      </c>
    </row>
    <row r="35" spans="1:5" x14ac:dyDescent="0.25">
      <c r="A35" s="13" t="str">
        <f>'★ Ablation-Study'!D21</f>
        <v>gpt-5-chat | P8</v>
      </c>
      <c r="C35" s="13">
        <f>'★ Ablation-Study'!E21</f>
        <v>66.666666666666657</v>
      </c>
      <c r="D35" s="15">
        <f>'★ Ablation-Study'!I21*$C$13</f>
        <v>20.611999999999998</v>
      </c>
      <c r="E35" s="14">
        <f t="shared" si="0"/>
        <v>0.30918000000000001</v>
      </c>
    </row>
    <row r="36" spans="1:5" x14ac:dyDescent="0.25">
      <c r="A36" s="13" t="str">
        <f>'★ Ablation-Study'!D22</f>
        <v>gpt-5-chat | P6</v>
      </c>
      <c r="C36" s="13">
        <f>'★ Ablation-Study'!E22</f>
        <v>73.333333333333329</v>
      </c>
      <c r="D36" s="15">
        <f>'★ Ablation-Study'!I22*$C$13</f>
        <v>25.503999999999998</v>
      </c>
      <c r="E36" s="14">
        <f t="shared" si="0"/>
        <v>0.34778181818181819</v>
      </c>
    </row>
    <row r="37" spans="1:5" x14ac:dyDescent="0.25">
      <c r="A37" s="13" t="str">
        <f>'★ Ablation-Study'!D23</f>
        <v>gpt-5.2-chat | P8</v>
      </c>
      <c r="C37" s="13">
        <f>'★ Ablation-Study'!E23</f>
        <v>53.333333333333329</v>
      </c>
      <c r="D37" s="15">
        <f>'★ Ablation-Study'!I23*$C$13</f>
        <v>22.176800000000004</v>
      </c>
      <c r="E37" s="14">
        <f t="shared" si="0"/>
        <v>0.4158150000000001</v>
      </c>
    </row>
    <row r="38" spans="1:5" x14ac:dyDescent="0.25">
      <c r="A38" s="13" t="str">
        <f>'★ Ablation-Study'!D24</f>
        <v>gpt-5-chat | P2</v>
      </c>
      <c r="C38" s="13">
        <f>'★ Ablation-Study'!E24</f>
        <v>100</v>
      </c>
      <c r="D38" s="15">
        <f>'★ Ablation-Study'!I24*$C$13</f>
        <v>43.573800000000006</v>
      </c>
      <c r="E38" s="14">
        <f t="shared" si="0"/>
        <v>0.43573800000000007</v>
      </c>
    </row>
    <row r="39" spans="1:5" x14ac:dyDescent="0.25">
      <c r="A39" s="13" t="str">
        <f>'★ Ablation-Study'!D25</f>
        <v>gpt-5.2-chat | P3</v>
      </c>
      <c r="C39" s="13">
        <f>'★ Ablation-Study'!E25</f>
        <v>100</v>
      </c>
      <c r="D39" s="15">
        <f>'★ Ablation-Study'!I25*$C$13</f>
        <v>44.337400000000009</v>
      </c>
      <c r="E39" s="14">
        <f t="shared" si="0"/>
        <v>0.4433740000000001</v>
      </c>
    </row>
    <row r="40" spans="1:5" x14ac:dyDescent="0.25">
      <c r="A40" s="13" t="str">
        <f>'★ Ablation-Study'!D26</f>
        <v>gpt-5.2-chat | P6</v>
      </c>
      <c r="C40" s="13">
        <f>'★ Ablation-Study'!E26</f>
        <v>93.333333333333329</v>
      </c>
      <c r="D40" s="15">
        <f>'★ Ablation-Study'!I26*$C$13</f>
        <v>43.699000000000005</v>
      </c>
      <c r="E40" s="14">
        <f t="shared" si="0"/>
        <v>0.4682035714285715</v>
      </c>
    </row>
    <row r="41" spans="1:5" x14ac:dyDescent="0.25">
      <c r="A41" s="13" t="str">
        <f>'★ Ablation-Study'!D27</f>
        <v>gpt-5.2-chat | P2</v>
      </c>
      <c r="C41" s="13">
        <f>'★ Ablation-Study'!E27</f>
        <v>100</v>
      </c>
      <c r="D41" s="15">
        <f>'★ Ablation-Study'!I27*$C$13</f>
        <v>54.2926</v>
      </c>
      <c r="E41" s="14">
        <f t="shared" si="0"/>
        <v>0.54292600000000002</v>
      </c>
    </row>
    <row r="42" spans="1:5" x14ac:dyDescent="0.25">
      <c r="A42" s="13" t="str">
        <f>'★ Ablation-Study'!D28</f>
        <v>gpt-5-chat | P5</v>
      </c>
      <c r="C42" s="13">
        <f>'★ Ablation-Study'!E28</f>
        <v>66.666666666666657</v>
      </c>
      <c r="D42" s="15">
        <f>'★ Ablation-Study'!I28*$C$13</f>
        <v>44.316000000000003</v>
      </c>
      <c r="E42" s="14">
        <f t="shared" si="0"/>
        <v>0.66474000000000011</v>
      </c>
    </row>
    <row r="43" spans="1:5" x14ac:dyDescent="0.25">
      <c r="A43" s="13" t="str">
        <f>'★ Ablation-Study'!D29</f>
        <v>gpt-5.2-chat | P5</v>
      </c>
      <c r="C43" s="13">
        <f>'★ Ablation-Study'!E29</f>
        <v>66.666666666666657</v>
      </c>
      <c r="D43" s="15">
        <f>'★ Ablation-Study'!I29*$C$13</f>
        <v>54.119000000000007</v>
      </c>
      <c r="E43" s="14">
        <f t="shared" si="0"/>
        <v>0.8117850000000002</v>
      </c>
    </row>
    <row r="44" spans="1:5" x14ac:dyDescent="0.25">
      <c r="A44" s="13" t="str">
        <f>'★ Ablation-Study'!D30</f>
        <v>gpt-5-chat | P1</v>
      </c>
      <c r="C44" s="13">
        <f>'★ Ablation-Study'!E30</f>
        <v>100</v>
      </c>
      <c r="D44" s="15">
        <f>'★ Ablation-Study'!I30*$C$13</f>
        <v>157.82</v>
      </c>
      <c r="E44" s="14">
        <f t="shared" si="0"/>
        <v>1.5781999999999998</v>
      </c>
    </row>
    <row r="45" spans="1:5" x14ac:dyDescent="0.25">
      <c r="A45" s="13" t="str">
        <f>'★ Ablation-Study'!D31</f>
        <v>gpt-5.2-chat | P1</v>
      </c>
      <c r="C45" s="13">
        <f>'★ Ablation-Study'!E31</f>
        <v>100</v>
      </c>
      <c r="D45" s="15">
        <f>'★ Ablation-Study'!I31*$C$13</f>
        <v>222.21</v>
      </c>
      <c r="E45" s="14">
        <f t="shared" si="0"/>
        <v>2.2221000000000002</v>
      </c>
    </row>
    <row r="46" spans="1:5" x14ac:dyDescent="0.25">
      <c r="A46" s="13" t="str">
        <f>'★ Ablation-Study'!D32</f>
        <v>gpt-5-chat | P4</v>
      </c>
      <c r="C46" s="13">
        <f>'★ Ablation-Study'!E32</f>
        <v>66.666666666666657</v>
      </c>
      <c r="D46" s="15">
        <f>'★ Ablation-Study'!I32*$C$13</f>
        <v>157.45400000000001</v>
      </c>
      <c r="E46" s="14">
        <f t="shared" si="0"/>
        <v>2.3618100000000006</v>
      </c>
    </row>
    <row r="47" spans="1:5" x14ac:dyDescent="0.25">
      <c r="A47" s="13" t="str">
        <f>'★ Ablation-Study'!D33</f>
        <v>gpt-5.2-chat | P4</v>
      </c>
      <c r="C47" s="13">
        <f>'★ Ablation-Study'!E33</f>
        <v>66.666666666666657</v>
      </c>
      <c r="D47" s="15">
        <f>'★ Ablation-Study'!I33*$C$13</f>
        <v>220.26399999999995</v>
      </c>
      <c r="E47" s="14">
        <f t="shared" si="0"/>
        <v>3.3039599999999996</v>
      </c>
    </row>
  </sheetData>
  <conditionalFormatting sqref="C3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baseColWidth="10" defaultColWidth="32.7109375" defaultRowHeight="15" x14ac:dyDescent="0.25"/>
  <sheetData>
    <row r="1" spans="1:6" x14ac:dyDescent="0.25">
      <c r="A1" s="1" t="s">
        <v>82</v>
      </c>
      <c r="B1" s="1" t="s">
        <v>18</v>
      </c>
      <c r="C1" s="1" t="s">
        <v>17</v>
      </c>
      <c r="D1" s="1" t="s">
        <v>38</v>
      </c>
      <c r="E1" s="1" t="s">
        <v>21</v>
      </c>
      <c r="F1" s="1" t="s">
        <v>20</v>
      </c>
    </row>
    <row r="2" spans="1:6" x14ac:dyDescent="0.25">
      <c r="A2" s="2" t="s">
        <v>83</v>
      </c>
      <c r="B2" s="2" t="str">
        <f>IFERROR(INDEX('★ Ablation-Study'!$A$2:$A$33,MATCH(MAX('★ Ablation-Study'!$E$2:$E$33),'★ Ablation-Study'!$E$2:$E$33,0)),"-")</f>
        <v>gpt-4o-mini</v>
      </c>
      <c r="C2" s="2" t="str">
        <f>IFERROR(INDEX('★ Ablation-Study'!$B$2:$B$33,MATCH(MAX('★ Ablation-Study'!$E$2:$E$33),'★ Ablation-Study'!$E$2:$E$33,0)),"-")</f>
        <v>C7_FilterOnly</v>
      </c>
      <c r="D2" s="2">
        <f>IFERROR(INDEX('★ Ablation-Study'!$E$2:$E$33,MATCH(MAX('★ Ablation-Study'!$E$2:$E$33),'★ Ablation-Study'!$E$2:$E$33,0)),"-")</f>
        <v>100</v>
      </c>
      <c r="E2" s="2">
        <f>IFERROR(INDEX('★ Ablation-Study'!$I$2:$I$33,MATCH(MAX('★ Ablation-Study'!$E$2:$E$33),'★ Ablation-Study'!$E$2:$E$33,0)),"-")</f>
        <v>1.4120000000000001E-3</v>
      </c>
      <c r="F2" s="2">
        <f>IFERROR(INDEX('★ Ablation-Study'!$K$2:$K$33,MATCH(MAX('★ Ablation-Study'!$E$2:$E$33),'★ Ablation-Study'!$E$2:$E$33,0)),"-")</f>
        <v>13.175999999999998</v>
      </c>
    </row>
    <row r="3" spans="1:6" x14ac:dyDescent="0.25">
      <c r="A3" s="2" t="s">
        <v>84</v>
      </c>
      <c r="B3" s="2" t="str">
        <f>IFERROR(INDEX('★ Ablation-Study'!$A$2:$A$33,MATCH(MIN('★ Ablation-Study'!$I$2:$I$33),'★ Ablation-Study'!$I$2:$I$33,0)),"-")</f>
        <v>gpt-4o-mini</v>
      </c>
      <c r="C3" s="2" t="str">
        <f>IFERROR(INDEX('★ Ablation-Study'!$B$2:$B$33,MATCH(MIN('★ Ablation-Study'!$I$2:$I$33),'★ Ablation-Study'!$I$2:$I$33,0)),"-")</f>
        <v>C8_BatchFiltered_NoName</v>
      </c>
      <c r="D3" s="2">
        <f>IFERROR(INDEX('★ Ablation-Study'!$E$2:$E$33,MATCH(MIN('★ Ablation-Study'!$I$2:$I$33),'★ Ablation-Study'!$I$2:$I$33,0)),"-")</f>
        <v>80</v>
      </c>
      <c r="E3" s="2">
        <f>IFERROR(INDEX('★ Ablation-Study'!$I$2:$I$33,MATCH(MIN('★ Ablation-Study'!$I$2:$I$33),'★ Ablation-Study'!$I$2:$I$33,0)),"-")</f>
        <v>9.2440000000000003E-4</v>
      </c>
      <c r="F3" s="2">
        <f>IFERROR(INDEX('★ Ablation-Study'!$K$2:$K$33,MATCH(MIN('★ Ablation-Study'!$I$2:$I$33),'★ Ablation-Study'!$I$2:$I$33,0)),"-")</f>
        <v>9.282</v>
      </c>
    </row>
    <row r="4" spans="1:6" x14ac:dyDescent="0.25">
      <c r="A4" s="2" t="s">
        <v>85</v>
      </c>
      <c r="B4" s="2" t="str">
        <f>IFERROR(INDEX('★ Ablation-Study'!$A$2:$A$33,MATCH(MIN('★ Ablation-Study'!$K$2:$K$33),'★ Ablation-Study'!$K$2:$K$33,0)),"-")</f>
        <v>gpt-4o-mini</v>
      </c>
      <c r="C4" s="2" t="str">
        <f>IFERROR(INDEX('★ Ablation-Study'!$B$2:$B$33,MATCH(MIN('★ Ablation-Study'!$K$2:$K$33),'★ Ablation-Study'!$K$2:$K$33,0)),"-")</f>
        <v>C5_BatchFiltered</v>
      </c>
      <c r="D4" s="2">
        <f>IFERROR(INDEX('★ Ablation-Study'!$E$2:$E$33,MATCH(MIN('★ Ablation-Study'!$K$2:$K$33),'★ Ablation-Study'!$K$2:$K$33,0)),"-")</f>
        <v>66.666666666666657</v>
      </c>
      <c r="E4" s="2">
        <f>IFERROR(INDEX('★ Ablation-Study'!$I$2:$I$33,MATCH(MIN('★ Ablation-Study'!$K$2:$K$33),'★ Ablation-Study'!$K$2:$K$33,0)),"-")</f>
        <v>9.41E-4</v>
      </c>
      <c r="F4" s="2">
        <f>IFERROR(INDEX('★ Ablation-Study'!$K$2:$K$33,MATCH(MIN('★ Ablation-Study'!$K$2:$K$33),'★ Ablation-Study'!$K$2:$K$33,0)),"-")</f>
        <v>8.8000000000000007</v>
      </c>
    </row>
    <row r="5" spans="1:6" x14ac:dyDescent="0.25">
      <c r="A5" s="2" t="s">
        <v>86</v>
      </c>
      <c r="B5" s="2" t="str">
        <f>IFERROR(INDEX('★ Ablation-Study'!$A$2:$A$33,MATCH(MIN('★ Ablation-Study'!$O$2:$O$33),'★ Ablation-Study'!$O$2:$O$33,0)),"-")</f>
        <v>gpt-4o-mini</v>
      </c>
      <c r="C5" s="2" t="str">
        <f>IFERROR(INDEX('★ Ablation-Study'!$B$2:$B$33,MATCH(MIN('★ Ablation-Study'!$O$2:$O$33),'★ Ablation-Study'!$O$2:$O$33,0)),"-")</f>
        <v>C8_BatchFiltered_NoName</v>
      </c>
      <c r="D5" s="2">
        <f>IFERROR(INDEX('★ Ablation-Study'!$E$2:$E$33,MATCH(MIN('★ Ablation-Study'!$O$2:$O$33),'★ Ablation-Study'!$O$2:$O$33,0)),"-")</f>
        <v>80</v>
      </c>
      <c r="E5" s="2">
        <f>IFERROR(INDEX('★ Ablation-Study'!$I$2:$I$33,MATCH(MIN('★ Ablation-Study'!$O$2:$O$33),'★ Ablation-Study'!$O$2:$O$33,0)),"-")</f>
        <v>9.2440000000000003E-4</v>
      </c>
      <c r="F5" s="2">
        <f>IFERROR(INDEX('★ Ablation-Study'!$K$2:$K$33,MATCH(MIN('★ Ablation-Study'!$O$2:$O$33),'★ Ablation-Study'!$O$2:$O$33,0)),"-")</f>
        <v>9.282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ColWidth="9.140625" defaultRowHeight="15" x14ac:dyDescent="0.25"/>
  <cols>
    <col min="1" max="1" width="10" customWidth="1"/>
    <col min="2" max="2" width="20" customWidth="1"/>
    <col min="3" max="3" width="11" customWidth="1"/>
    <col min="4" max="4" width="17" customWidth="1"/>
    <col min="5" max="5" width="30" customWidth="1"/>
    <col min="6" max="6" width="1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864</v>
      </c>
      <c r="E2" s="2" t="s">
        <v>8</v>
      </c>
      <c r="F2" s="2"/>
    </row>
    <row r="3" spans="1:6" x14ac:dyDescent="0.25">
      <c r="A3" s="2">
        <v>2</v>
      </c>
      <c r="B3" s="2" t="s">
        <v>9</v>
      </c>
      <c r="C3" s="2" t="s">
        <v>7</v>
      </c>
      <c r="D3" s="2">
        <v>38</v>
      </c>
      <c r="E3" s="2" t="s">
        <v>10</v>
      </c>
      <c r="F3" s="2"/>
    </row>
    <row r="4" spans="1:6" x14ac:dyDescent="0.25">
      <c r="A4" s="2">
        <v>3</v>
      </c>
      <c r="B4" s="2" t="s">
        <v>11</v>
      </c>
      <c r="C4" s="2" t="s">
        <v>7</v>
      </c>
      <c r="D4" s="2">
        <v>39</v>
      </c>
      <c r="E4" s="2" t="s">
        <v>12</v>
      </c>
      <c r="F4" s="2"/>
    </row>
    <row r="5" spans="1:6" x14ac:dyDescent="0.25">
      <c r="A5" s="2">
        <v>4</v>
      </c>
      <c r="B5" s="2" t="s">
        <v>13</v>
      </c>
      <c r="C5" s="2" t="s">
        <v>118</v>
      </c>
      <c r="D5" s="2"/>
      <c r="E5" s="2" t="s">
        <v>12</v>
      </c>
      <c r="F5" s="2"/>
    </row>
    <row r="6" spans="1:6" x14ac:dyDescent="0.25">
      <c r="A6" s="2">
        <v>5</v>
      </c>
      <c r="B6" s="2" t="s">
        <v>14</v>
      </c>
      <c r="C6" s="2" t="s">
        <v>118</v>
      </c>
      <c r="D6" s="2"/>
      <c r="E6" s="2" t="s">
        <v>15</v>
      </c>
      <c r="F6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1"/>
  <sheetViews>
    <sheetView workbookViewId="0">
      <selection activeCell="I21" sqref="I21"/>
    </sheetView>
  </sheetViews>
  <sheetFormatPr baseColWidth="10" defaultColWidth="9.140625" defaultRowHeight="15" customHeight="1" x14ac:dyDescent="0.25"/>
  <cols>
    <col min="1" max="1" width="29" customWidth="1"/>
    <col min="2" max="2" width="25" customWidth="1"/>
    <col min="3" max="3" width="14" customWidth="1"/>
    <col min="4" max="4" width="10.7109375" customWidth="1"/>
    <col min="5" max="5" width="17.85546875" customWidth="1"/>
    <col min="6" max="6" width="17.42578125" customWidth="1"/>
    <col min="7" max="7" width="18.7109375" customWidth="1"/>
    <col min="8" max="8" width="20.7109375" customWidth="1"/>
    <col min="9" max="9" width="19" customWidth="1"/>
    <col min="10" max="10" width="14.5703125" customWidth="1"/>
    <col min="11" max="11" width="18.140625" customWidth="1"/>
    <col min="12" max="14" width="18.7109375" customWidth="1"/>
    <col min="15" max="15" width="18.42578125" customWidth="1"/>
    <col min="16" max="16" width="19" customWidth="1"/>
    <col min="17" max="19" width="19.42578125" customWidth="1"/>
    <col min="20" max="20" width="19.28515625" customWidth="1"/>
    <col min="21" max="21" width="20.5703125" customWidth="1"/>
    <col min="22" max="22" width="22.85546875" customWidth="1"/>
    <col min="23" max="23" width="29" customWidth="1"/>
    <col min="24" max="24" width="31.85546875" customWidth="1"/>
  </cols>
  <sheetData>
    <row r="1" spans="1:24" ht="15" customHeight="1" x14ac:dyDescent="0.25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7" t="s">
        <v>39</v>
      </c>
    </row>
    <row r="2" spans="1:24" ht="15" customHeight="1" x14ac:dyDescent="0.25">
      <c r="A2" s="3" t="s">
        <v>40</v>
      </c>
      <c r="B2" s="2" t="s">
        <v>41</v>
      </c>
      <c r="C2" s="2" t="s">
        <v>42</v>
      </c>
      <c r="D2" s="2">
        <v>1</v>
      </c>
      <c r="E2" s="2">
        <v>16.46</v>
      </c>
      <c r="F2" s="2">
        <v>3.9480000000000001E-3</v>
      </c>
      <c r="G2" s="2">
        <v>23014</v>
      </c>
      <c r="H2" s="2">
        <v>826</v>
      </c>
      <c r="I2" s="2">
        <f t="shared" ref="I2:I33" si="0">G2+H2</f>
        <v>23840</v>
      </c>
      <c r="J2" s="2">
        <v>1</v>
      </c>
      <c r="K2" s="2" t="s">
        <v>43</v>
      </c>
      <c r="L2" s="2" t="s">
        <v>10</v>
      </c>
      <c r="M2" s="2" t="s">
        <v>12</v>
      </c>
      <c r="N2" s="2" t="s">
        <v>12</v>
      </c>
      <c r="O2" s="2" t="s">
        <v>15</v>
      </c>
      <c r="P2" s="2">
        <f>IF(OR('Ground-Truth'!$C$2&lt;&gt;"Ja",'Ground-Truth'!$D$2=""),"",IF(TEXT(K2,"0")=TEXT('Ground-Truth'!$D$2,"0"),1,0))</f>
        <v>0</v>
      </c>
      <c r="Q2" s="2">
        <f>IF(OR('Ground-Truth'!$C$3&lt;&gt;"Ja",'Ground-Truth'!$D$3=""),"",IF(TEXT(L2,"0")=TEXT('Ground-Truth'!$D$3,"0"),1,0))</f>
        <v>1</v>
      </c>
      <c r="R2" s="2">
        <f>IF(OR('Ground-Truth'!$C$4&lt;&gt;"Ja",'Ground-Truth'!$D$4=""),"",IF(TEXT(M2,"0")=TEXT('Ground-Truth'!$D$4,"0"),1,0))</f>
        <v>1</v>
      </c>
      <c r="S2" s="2" t="str">
        <f>IF(OR('Ground-Truth'!$C$5&lt;&gt;"Ja",'Ground-Truth'!$D$5=""),"",IF(TEXT(N2,"0")=TEXT('Ground-Truth'!$D$5,"0"),1,0))</f>
        <v/>
      </c>
      <c r="T2" s="2" t="str">
        <f>IF(OR('Ground-Truth'!$C$6&lt;&gt;"Ja",'Ground-Truth'!$D$6=""),"",IF(TEXT(O2,"0")=TEXT('Ground-Truth'!$D$6,"0"),1,0))</f>
        <v/>
      </c>
      <c r="U2" s="2">
        <f t="shared" ref="U2:U33" si="1">SUM(P2:T2)</f>
        <v>2</v>
      </c>
      <c r="V2" s="2">
        <f t="shared" ref="V2:V33" si="2">COUNT(P2:T2)</f>
        <v>3</v>
      </c>
      <c r="W2" s="2">
        <f t="shared" ref="W2:W33" si="3">IF(V2=0,0,U2/V2*100)</f>
        <v>66.666666666666657</v>
      </c>
      <c r="X2" s="4" t="str">
        <f t="shared" ref="X2:X33" si="4">C2&amp;"_"&amp;B2</f>
        <v>gpt-4o-mini_C1_Hybrid</v>
      </c>
    </row>
    <row r="3" spans="1:24" ht="15" customHeight="1" x14ac:dyDescent="0.25">
      <c r="A3" s="3" t="s">
        <v>40</v>
      </c>
      <c r="B3" s="2" t="s">
        <v>41</v>
      </c>
      <c r="C3" s="2" t="s">
        <v>42</v>
      </c>
      <c r="D3" s="2">
        <v>2</v>
      </c>
      <c r="E3" s="2">
        <v>14.24</v>
      </c>
      <c r="F3" s="2">
        <v>3.9659999999999999E-3</v>
      </c>
      <c r="G3" s="2">
        <v>23014</v>
      </c>
      <c r="H3" s="2">
        <v>856</v>
      </c>
      <c r="I3" s="2">
        <f t="shared" si="0"/>
        <v>23870</v>
      </c>
      <c r="J3" s="2">
        <v>1</v>
      </c>
      <c r="K3" s="2" t="s">
        <v>8</v>
      </c>
      <c r="L3" s="2" t="s">
        <v>10</v>
      </c>
      <c r="M3" s="2" t="s">
        <v>12</v>
      </c>
      <c r="N3" s="2" t="s">
        <v>12</v>
      </c>
      <c r="O3" s="2" t="s">
        <v>15</v>
      </c>
      <c r="P3" s="2">
        <f>IF(OR('Ground-Truth'!$C$2&lt;&gt;"Ja",'Ground-Truth'!$D$2=""),"",IF(TEXT(K3,"0")=TEXT('Ground-Truth'!$D$2,"0"),1,0))</f>
        <v>1</v>
      </c>
      <c r="Q3" s="2">
        <f>IF(OR('Ground-Truth'!$C$3&lt;&gt;"Ja",'Ground-Truth'!$D$3=""),"",IF(TEXT(L3,"0")=TEXT('Ground-Truth'!$D$3,"0"),1,0))</f>
        <v>1</v>
      </c>
      <c r="R3" s="2">
        <f>IF(OR('Ground-Truth'!$C$4&lt;&gt;"Ja",'Ground-Truth'!$D$4=""),"",IF(TEXT(M3,"0")=TEXT('Ground-Truth'!$D$4,"0"),1,0))</f>
        <v>1</v>
      </c>
      <c r="S3" s="2" t="str">
        <f>IF(OR('Ground-Truth'!$C$5&lt;&gt;"Ja",'Ground-Truth'!$D$5=""),"",IF(TEXT(N3,"0")=TEXT('Ground-Truth'!$D$5,"0"),1,0))</f>
        <v/>
      </c>
      <c r="T3" s="2" t="str">
        <f>IF(OR('Ground-Truth'!$C$6&lt;&gt;"Ja",'Ground-Truth'!$D$6=""),"",IF(TEXT(O3,"0")=TEXT('Ground-Truth'!$D$6,"0"),1,0))</f>
        <v/>
      </c>
      <c r="U3" s="2">
        <f t="shared" si="1"/>
        <v>3</v>
      </c>
      <c r="V3" s="2">
        <f t="shared" si="2"/>
        <v>3</v>
      </c>
      <c r="W3" s="2">
        <f t="shared" si="3"/>
        <v>100</v>
      </c>
      <c r="X3" s="4" t="str">
        <f t="shared" si="4"/>
        <v>gpt-4o-mini_C1_Hybrid</v>
      </c>
    </row>
    <row r="4" spans="1:24" ht="15" customHeight="1" x14ac:dyDescent="0.25">
      <c r="A4" s="3" t="s">
        <v>40</v>
      </c>
      <c r="B4" s="2" t="s">
        <v>41</v>
      </c>
      <c r="C4" s="2" t="s">
        <v>42</v>
      </c>
      <c r="D4" s="2">
        <v>3</v>
      </c>
      <c r="E4" s="2">
        <v>10.89</v>
      </c>
      <c r="F4" s="2">
        <v>3.8430000000000001E-3</v>
      </c>
      <c r="G4" s="2">
        <v>23014</v>
      </c>
      <c r="H4" s="2">
        <v>651</v>
      </c>
      <c r="I4" s="2">
        <f t="shared" si="0"/>
        <v>23665</v>
      </c>
      <c r="J4" s="2">
        <v>1</v>
      </c>
      <c r="K4" s="2" t="s">
        <v>43</v>
      </c>
      <c r="L4" s="2" t="s">
        <v>10</v>
      </c>
      <c r="M4" s="2" t="s">
        <v>12</v>
      </c>
      <c r="N4" s="2" t="s">
        <v>12</v>
      </c>
      <c r="O4" s="2" t="s">
        <v>15</v>
      </c>
      <c r="P4" s="2">
        <f>IF(OR('Ground-Truth'!$C$2&lt;&gt;"Ja",'Ground-Truth'!$D$2=""),"",IF(TEXT(K4,"0")=TEXT('Ground-Truth'!$D$2,"0"),1,0))</f>
        <v>0</v>
      </c>
      <c r="Q4" s="2">
        <f>IF(OR('Ground-Truth'!$C$3&lt;&gt;"Ja",'Ground-Truth'!$D$3=""),"",IF(TEXT(L4,"0")=TEXT('Ground-Truth'!$D$3,"0"),1,0))</f>
        <v>1</v>
      </c>
      <c r="R4" s="2">
        <f>IF(OR('Ground-Truth'!$C$4&lt;&gt;"Ja",'Ground-Truth'!$D$4=""),"",IF(TEXT(M4,"0")=TEXT('Ground-Truth'!$D$4,"0"),1,0))</f>
        <v>1</v>
      </c>
      <c r="S4" s="2" t="str">
        <f>IF(OR('Ground-Truth'!$C$5&lt;&gt;"Ja",'Ground-Truth'!$D$5=""),"",IF(TEXT(N4,"0")=TEXT('Ground-Truth'!$D$5,"0"),1,0))</f>
        <v/>
      </c>
      <c r="T4" s="2" t="str">
        <f>IF(OR('Ground-Truth'!$C$6&lt;&gt;"Ja",'Ground-Truth'!$D$6=""),"",IF(TEXT(O4,"0")=TEXT('Ground-Truth'!$D$6,"0"),1,0))</f>
        <v/>
      </c>
      <c r="U4" s="2">
        <f t="shared" si="1"/>
        <v>2</v>
      </c>
      <c r="V4" s="2">
        <f t="shared" si="2"/>
        <v>3</v>
      </c>
      <c r="W4" s="2">
        <f t="shared" si="3"/>
        <v>66.666666666666657</v>
      </c>
      <c r="X4" s="4" t="str">
        <f t="shared" si="4"/>
        <v>gpt-4o-mini_C1_Hybrid</v>
      </c>
    </row>
    <row r="5" spans="1:24" ht="15" customHeight="1" x14ac:dyDescent="0.25">
      <c r="A5" s="3" t="s">
        <v>40</v>
      </c>
      <c r="B5" s="2" t="s">
        <v>41</v>
      </c>
      <c r="C5" s="2" t="s">
        <v>42</v>
      </c>
      <c r="D5" s="2">
        <v>4</v>
      </c>
      <c r="E5" s="2">
        <v>12.9</v>
      </c>
      <c r="F5" s="2">
        <v>3.9220000000000001E-3</v>
      </c>
      <c r="G5" s="2">
        <v>23014</v>
      </c>
      <c r="H5" s="2">
        <v>783</v>
      </c>
      <c r="I5" s="2">
        <f t="shared" si="0"/>
        <v>23797</v>
      </c>
      <c r="J5" s="2">
        <v>1</v>
      </c>
      <c r="K5" s="2" t="s">
        <v>43</v>
      </c>
      <c r="L5" s="2" t="s">
        <v>10</v>
      </c>
      <c r="M5" s="2" t="s">
        <v>12</v>
      </c>
      <c r="N5" s="2" t="s">
        <v>12</v>
      </c>
      <c r="O5" s="2" t="s">
        <v>15</v>
      </c>
      <c r="P5" s="2">
        <f>IF(OR('Ground-Truth'!$C$2&lt;&gt;"Ja",'Ground-Truth'!$D$2=""),"",IF(TEXT(K5,"0")=TEXT('Ground-Truth'!$D$2,"0"),1,0))</f>
        <v>0</v>
      </c>
      <c r="Q5" s="2">
        <f>IF(OR('Ground-Truth'!$C$3&lt;&gt;"Ja",'Ground-Truth'!$D$3=""),"",IF(TEXT(L5,"0")=TEXT('Ground-Truth'!$D$3,"0"),1,0))</f>
        <v>1</v>
      </c>
      <c r="R5" s="2">
        <f>IF(OR('Ground-Truth'!$C$4&lt;&gt;"Ja",'Ground-Truth'!$D$4=""),"",IF(TEXT(M5,"0")=TEXT('Ground-Truth'!$D$4,"0"),1,0))</f>
        <v>1</v>
      </c>
      <c r="S5" s="2" t="str">
        <f>IF(OR('Ground-Truth'!$C$5&lt;&gt;"Ja",'Ground-Truth'!$D$5=""),"",IF(TEXT(N5,"0")=TEXT('Ground-Truth'!$D$5,"0"),1,0))</f>
        <v/>
      </c>
      <c r="T5" s="2" t="str">
        <f>IF(OR('Ground-Truth'!$C$6&lt;&gt;"Ja",'Ground-Truth'!$D$6=""),"",IF(TEXT(O5,"0")=TEXT('Ground-Truth'!$D$6,"0"),1,0))</f>
        <v/>
      </c>
      <c r="U5" s="2">
        <f t="shared" si="1"/>
        <v>2</v>
      </c>
      <c r="V5" s="2">
        <f t="shared" si="2"/>
        <v>3</v>
      </c>
      <c r="W5" s="2">
        <f t="shared" si="3"/>
        <v>66.666666666666657</v>
      </c>
      <c r="X5" s="4" t="str">
        <f t="shared" si="4"/>
        <v>gpt-4o-mini_C1_Hybrid</v>
      </c>
    </row>
    <row r="6" spans="1:24" ht="15" customHeight="1" x14ac:dyDescent="0.25">
      <c r="A6" s="3" t="s">
        <v>40</v>
      </c>
      <c r="B6" s="2" t="s">
        <v>41</v>
      </c>
      <c r="C6" s="2" t="s">
        <v>42</v>
      </c>
      <c r="D6" s="2">
        <v>5</v>
      </c>
      <c r="E6" s="2">
        <v>15.97</v>
      </c>
      <c r="F6" s="2">
        <v>3.8790000000000001E-3</v>
      </c>
      <c r="G6" s="2">
        <v>23014</v>
      </c>
      <c r="H6" s="2">
        <v>712</v>
      </c>
      <c r="I6" s="2">
        <f t="shared" si="0"/>
        <v>23726</v>
      </c>
      <c r="J6" s="2">
        <v>1</v>
      </c>
      <c r="K6" s="2" t="s">
        <v>43</v>
      </c>
      <c r="L6" s="2" t="s">
        <v>10</v>
      </c>
      <c r="M6" s="2" t="s">
        <v>12</v>
      </c>
      <c r="N6" s="2" t="s">
        <v>12</v>
      </c>
      <c r="O6" s="2" t="s">
        <v>15</v>
      </c>
      <c r="P6" s="2">
        <f>IF(OR('Ground-Truth'!$C$2&lt;&gt;"Ja",'Ground-Truth'!$D$2=""),"",IF(TEXT(K6,"0")=TEXT('Ground-Truth'!$D$2,"0"),1,0))</f>
        <v>0</v>
      </c>
      <c r="Q6" s="2">
        <f>IF(OR('Ground-Truth'!$C$3&lt;&gt;"Ja",'Ground-Truth'!$D$3=""),"",IF(TEXT(L6,"0")=TEXT('Ground-Truth'!$D$3,"0"),1,0))</f>
        <v>1</v>
      </c>
      <c r="R6" s="2">
        <f>IF(OR('Ground-Truth'!$C$4&lt;&gt;"Ja",'Ground-Truth'!$D$4=""),"",IF(TEXT(M6,"0")=TEXT('Ground-Truth'!$D$4,"0"),1,0))</f>
        <v>1</v>
      </c>
      <c r="S6" s="2" t="str">
        <f>IF(OR('Ground-Truth'!$C$5&lt;&gt;"Ja",'Ground-Truth'!$D$5=""),"",IF(TEXT(N6,"0")=TEXT('Ground-Truth'!$D$5,"0"),1,0))</f>
        <v/>
      </c>
      <c r="T6" s="2" t="str">
        <f>IF(OR('Ground-Truth'!$C$6&lt;&gt;"Ja",'Ground-Truth'!$D$6=""),"",IF(TEXT(O6,"0")=TEXT('Ground-Truth'!$D$6,"0"),1,0))</f>
        <v/>
      </c>
      <c r="U6" s="2">
        <f t="shared" si="1"/>
        <v>2</v>
      </c>
      <c r="V6" s="2">
        <f t="shared" si="2"/>
        <v>3</v>
      </c>
      <c r="W6" s="2">
        <f t="shared" si="3"/>
        <v>66.666666666666657</v>
      </c>
      <c r="X6" s="4" t="str">
        <f t="shared" si="4"/>
        <v>gpt-4o-mini_C1_Hybrid</v>
      </c>
    </row>
    <row r="7" spans="1:24" ht="15" customHeight="1" x14ac:dyDescent="0.25">
      <c r="A7" s="3" t="s">
        <v>40</v>
      </c>
      <c r="B7" s="2" t="s">
        <v>44</v>
      </c>
      <c r="C7" s="2" t="s">
        <v>42</v>
      </c>
      <c r="D7" s="2">
        <v>1</v>
      </c>
      <c r="E7" s="2">
        <v>13.24</v>
      </c>
      <c r="F7" s="2">
        <v>1.341E-3</v>
      </c>
      <c r="G7" s="2">
        <v>6576</v>
      </c>
      <c r="H7" s="2">
        <v>591</v>
      </c>
      <c r="I7" s="2">
        <f t="shared" si="0"/>
        <v>7167</v>
      </c>
      <c r="J7" s="2">
        <v>5</v>
      </c>
      <c r="K7" s="2" t="s">
        <v>8</v>
      </c>
      <c r="L7" s="2" t="s">
        <v>10</v>
      </c>
      <c r="M7" s="2" t="s">
        <v>12</v>
      </c>
      <c r="N7" s="2" t="s">
        <v>12</v>
      </c>
      <c r="O7" s="2" t="s">
        <v>45</v>
      </c>
      <c r="P7" s="2">
        <f>IF(OR('Ground-Truth'!$C$2&lt;&gt;"Ja",'Ground-Truth'!$D$2=""),"",IF(TEXT(K7,"0")=TEXT('Ground-Truth'!$D$2,"0"),1,0))</f>
        <v>1</v>
      </c>
      <c r="Q7" s="2">
        <f>IF(OR('Ground-Truth'!$C$3&lt;&gt;"Ja",'Ground-Truth'!$D$3=""),"",IF(TEXT(L7,"0")=TEXT('Ground-Truth'!$D$3,"0"),1,0))</f>
        <v>1</v>
      </c>
      <c r="R7" s="2">
        <f>IF(OR('Ground-Truth'!$C$4&lt;&gt;"Ja",'Ground-Truth'!$D$4=""),"",IF(TEXT(M7,"0")=TEXT('Ground-Truth'!$D$4,"0"),1,0))</f>
        <v>1</v>
      </c>
      <c r="S7" s="2" t="str">
        <f>IF(OR('Ground-Truth'!$C$5&lt;&gt;"Ja",'Ground-Truth'!$D$5=""),"",IF(TEXT(N7,"0")=TEXT('Ground-Truth'!$D$5,"0"),1,0))</f>
        <v/>
      </c>
      <c r="T7" s="2" t="str">
        <f>IF(OR('Ground-Truth'!$C$6&lt;&gt;"Ja",'Ground-Truth'!$D$6=""),"",IF(TEXT(O7,"0")=TEXT('Ground-Truth'!$D$6,"0"),1,0))</f>
        <v/>
      </c>
      <c r="U7" s="2">
        <f t="shared" si="1"/>
        <v>3</v>
      </c>
      <c r="V7" s="2">
        <f t="shared" si="2"/>
        <v>3</v>
      </c>
      <c r="W7" s="2">
        <f t="shared" si="3"/>
        <v>100</v>
      </c>
      <c r="X7" s="4" t="str">
        <f t="shared" si="4"/>
        <v>gpt-4o-mini_C2_Precision</v>
      </c>
    </row>
    <row r="8" spans="1:24" ht="15" customHeight="1" x14ac:dyDescent="0.25">
      <c r="A8" s="3" t="s">
        <v>40</v>
      </c>
      <c r="B8" s="2" t="s">
        <v>44</v>
      </c>
      <c r="C8" s="2" t="s">
        <v>42</v>
      </c>
      <c r="D8" s="2">
        <v>2</v>
      </c>
      <c r="E8" s="2">
        <v>12.67</v>
      </c>
      <c r="F8" s="2">
        <v>1.4E-3</v>
      </c>
      <c r="G8" s="2">
        <v>6576</v>
      </c>
      <c r="H8" s="2">
        <v>689</v>
      </c>
      <c r="I8" s="2">
        <f t="shared" si="0"/>
        <v>7265</v>
      </c>
      <c r="J8" s="2">
        <v>5</v>
      </c>
      <c r="K8" s="2" t="s">
        <v>43</v>
      </c>
      <c r="L8" s="2" t="s">
        <v>10</v>
      </c>
      <c r="M8" s="2" t="s">
        <v>12</v>
      </c>
      <c r="N8" s="2" t="s">
        <v>12</v>
      </c>
      <c r="O8" s="2" t="s">
        <v>45</v>
      </c>
      <c r="P8" s="2">
        <f>IF(OR('Ground-Truth'!$C$2&lt;&gt;"Ja",'Ground-Truth'!$D$2=""),"",IF(TEXT(K8,"0")=TEXT('Ground-Truth'!$D$2,"0"),1,0))</f>
        <v>0</v>
      </c>
      <c r="Q8" s="2">
        <f>IF(OR('Ground-Truth'!$C$3&lt;&gt;"Ja",'Ground-Truth'!$D$3=""),"",IF(TEXT(L8,"0")=TEXT('Ground-Truth'!$D$3,"0"),1,0))</f>
        <v>1</v>
      </c>
      <c r="R8" s="2">
        <f>IF(OR('Ground-Truth'!$C$4&lt;&gt;"Ja",'Ground-Truth'!$D$4=""),"",IF(TEXT(M8,"0")=TEXT('Ground-Truth'!$D$4,"0"),1,0))</f>
        <v>1</v>
      </c>
      <c r="S8" s="2" t="str">
        <f>IF(OR('Ground-Truth'!$C$5&lt;&gt;"Ja",'Ground-Truth'!$D$5=""),"",IF(TEXT(N8,"0")=TEXT('Ground-Truth'!$D$5,"0"),1,0))</f>
        <v/>
      </c>
      <c r="T8" s="2" t="str">
        <f>IF(OR('Ground-Truth'!$C$6&lt;&gt;"Ja",'Ground-Truth'!$D$6=""),"",IF(TEXT(O8,"0")=TEXT('Ground-Truth'!$D$6,"0"),1,0))</f>
        <v/>
      </c>
      <c r="U8" s="2">
        <f t="shared" si="1"/>
        <v>2</v>
      </c>
      <c r="V8" s="2">
        <f t="shared" si="2"/>
        <v>3</v>
      </c>
      <c r="W8" s="2">
        <f t="shared" si="3"/>
        <v>66.666666666666657</v>
      </c>
      <c r="X8" s="4" t="str">
        <f t="shared" si="4"/>
        <v>gpt-4o-mini_C2_Precision</v>
      </c>
    </row>
    <row r="9" spans="1:24" ht="15" customHeight="1" x14ac:dyDescent="0.25">
      <c r="A9" s="3" t="s">
        <v>40</v>
      </c>
      <c r="B9" s="2" t="s">
        <v>44</v>
      </c>
      <c r="C9" s="2" t="s">
        <v>42</v>
      </c>
      <c r="D9" s="2">
        <v>3</v>
      </c>
      <c r="E9" s="2">
        <v>15.24</v>
      </c>
      <c r="F9" s="2">
        <v>1.353E-3</v>
      </c>
      <c r="G9" s="2">
        <v>6576</v>
      </c>
      <c r="H9" s="2">
        <v>611</v>
      </c>
      <c r="I9" s="2">
        <f t="shared" si="0"/>
        <v>7187</v>
      </c>
      <c r="J9" s="2">
        <v>5</v>
      </c>
      <c r="K9" s="2" t="s">
        <v>43</v>
      </c>
      <c r="L9" s="2" t="s">
        <v>10</v>
      </c>
      <c r="M9" s="2" t="s">
        <v>12</v>
      </c>
      <c r="N9" s="2" t="s">
        <v>12</v>
      </c>
      <c r="O9" s="2" t="s">
        <v>45</v>
      </c>
      <c r="P9" s="2">
        <f>IF(OR('Ground-Truth'!$C$2&lt;&gt;"Ja",'Ground-Truth'!$D$2=""),"",IF(TEXT(K9,"0")=TEXT('Ground-Truth'!$D$2,"0"),1,0))</f>
        <v>0</v>
      </c>
      <c r="Q9" s="2">
        <f>IF(OR('Ground-Truth'!$C$3&lt;&gt;"Ja",'Ground-Truth'!$D$3=""),"",IF(TEXT(L9,"0")=TEXT('Ground-Truth'!$D$3,"0"),1,0))</f>
        <v>1</v>
      </c>
      <c r="R9" s="2">
        <f>IF(OR('Ground-Truth'!$C$4&lt;&gt;"Ja",'Ground-Truth'!$D$4=""),"",IF(TEXT(M9,"0")=TEXT('Ground-Truth'!$D$4,"0"),1,0))</f>
        <v>1</v>
      </c>
      <c r="S9" s="2" t="str">
        <f>IF(OR('Ground-Truth'!$C$5&lt;&gt;"Ja",'Ground-Truth'!$D$5=""),"",IF(TEXT(N9,"0")=TEXT('Ground-Truth'!$D$5,"0"),1,0))</f>
        <v/>
      </c>
      <c r="T9" s="2" t="str">
        <f>IF(OR('Ground-Truth'!$C$6&lt;&gt;"Ja",'Ground-Truth'!$D$6=""),"",IF(TEXT(O9,"0")=TEXT('Ground-Truth'!$D$6,"0"),1,0))</f>
        <v/>
      </c>
      <c r="U9" s="2">
        <f t="shared" si="1"/>
        <v>2</v>
      </c>
      <c r="V9" s="2">
        <f t="shared" si="2"/>
        <v>3</v>
      </c>
      <c r="W9" s="2">
        <f t="shared" si="3"/>
        <v>66.666666666666657</v>
      </c>
      <c r="X9" s="4" t="str">
        <f t="shared" si="4"/>
        <v>gpt-4o-mini_C2_Precision</v>
      </c>
    </row>
    <row r="10" spans="1:24" ht="15" customHeight="1" x14ac:dyDescent="0.25">
      <c r="A10" s="3" t="s">
        <v>40</v>
      </c>
      <c r="B10" s="2" t="s">
        <v>44</v>
      </c>
      <c r="C10" s="2" t="s">
        <v>42</v>
      </c>
      <c r="D10" s="2">
        <v>4</v>
      </c>
      <c r="E10" s="2">
        <v>11.97</v>
      </c>
      <c r="F10" s="2">
        <v>1.3600000000000001E-3</v>
      </c>
      <c r="G10" s="2">
        <v>6576</v>
      </c>
      <c r="H10" s="2">
        <v>623</v>
      </c>
      <c r="I10" s="2">
        <f t="shared" si="0"/>
        <v>7199</v>
      </c>
      <c r="J10" s="2">
        <v>5</v>
      </c>
      <c r="K10" s="2" t="s">
        <v>43</v>
      </c>
      <c r="L10" s="2" t="s">
        <v>10</v>
      </c>
      <c r="M10" s="2" t="s">
        <v>12</v>
      </c>
      <c r="N10" s="2" t="s">
        <v>12</v>
      </c>
      <c r="O10" s="2" t="s">
        <v>45</v>
      </c>
      <c r="P10" s="2">
        <f>IF(OR('Ground-Truth'!$C$2&lt;&gt;"Ja",'Ground-Truth'!$D$2=""),"",IF(TEXT(K10,"0")=TEXT('Ground-Truth'!$D$2,"0"),1,0))</f>
        <v>0</v>
      </c>
      <c r="Q10" s="2">
        <f>IF(OR('Ground-Truth'!$C$3&lt;&gt;"Ja",'Ground-Truth'!$D$3=""),"",IF(TEXT(L10,"0")=TEXT('Ground-Truth'!$D$3,"0"),1,0))</f>
        <v>1</v>
      </c>
      <c r="R10" s="2">
        <f>IF(OR('Ground-Truth'!$C$4&lt;&gt;"Ja",'Ground-Truth'!$D$4=""),"",IF(TEXT(M10,"0")=TEXT('Ground-Truth'!$D$4,"0"),1,0))</f>
        <v>1</v>
      </c>
      <c r="S10" s="2" t="str">
        <f>IF(OR('Ground-Truth'!$C$5&lt;&gt;"Ja",'Ground-Truth'!$D$5=""),"",IF(TEXT(N10,"0")=TEXT('Ground-Truth'!$D$5,"0"),1,0))</f>
        <v/>
      </c>
      <c r="T10" s="2" t="str">
        <f>IF(OR('Ground-Truth'!$C$6&lt;&gt;"Ja",'Ground-Truth'!$D$6=""),"",IF(TEXT(O10,"0")=TEXT('Ground-Truth'!$D$6,"0"),1,0))</f>
        <v/>
      </c>
      <c r="U10" s="2">
        <f t="shared" si="1"/>
        <v>2</v>
      </c>
      <c r="V10" s="2">
        <f t="shared" si="2"/>
        <v>3</v>
      </c>
      <c r="W10" s="2">
        <f t="shared" si="3"/>
        <v>66.666666666666657</v>
      </c>
      <c r="X10" s="4" t="str">
        <f t="shared" si="4"/>
        <v>gpt-4o-mini_C2_Precision</v>
      </c>
    </row>
    <row r="11" spans="1:24" ht="15" customHeight="1" x14ac:dyDescent="0.25">
      <c r="A11" s="3" t="s">
        <v>40</v>
      </c>
      <c r="B11" s="2" t="s">
        <v>44</v>
      </c>
      <c r="C11" s="2" t="s">
        <v>42</v>
      </c>
      <c r="D11" s="2">
        <v>5</v>
      </c>
      <c r="E11" s="2">
        <v>16.96</v>
      </c>
      <c r="F11" s="2">
        <v>1.4959999999999999E-3</v>
      </c>
      <c r="G11" s="2">
        <v>6576</v>
      </c>
      <c r="H11" s="2">
        <v>849</v>
      </c>
      <c r="I11" s="2">
        <f t="shared" si="0"/>
        <v>7425</v>
      </c>
      <c r="J11" s="2">
        <v>5</v>
      </c>
      <c r="K11" s="2" t="s">
        <v>43</v>
      </c>
      <c r="L11" s="2" t="s">
        <v>10</v>
      </c>
      <c r="M11" s="2" t="s">
        <v>12</v>
      </c>
      <c r="N11" s="2" t="s">
        <v>12</v>
      </c>
      <c r="O11" s="2" t="s">
        <v>45</v>
      </c>
      <c r="P11" s="2">
        <f>IF(OR('Ground-Truth'!$C$2&lt;&gt;"Ja",'Ground-Truth'!$D$2=""),"",IF(TEXT(K11,"0")=TEXT('Ground-Truth'!$D$2,"0"),1,0))</f>
        <v>0</v>
      </c>
      <c r="Q11" s="2">
        <f>IF(OR('Ground-Truth'!$C$3&lt;&gt;"Ja",'Ground-Truth'!$D$3=""),"",IF(TEXT(L11,"0")=TEXT('Ground-Truth'!$D$3,"0"),1,0))</f>
        <v>1</v>
      </c>
      <c r="R11" s="2">
        <f>IF(OR('Ground-Truth'!$C$4&lt;&gt;"Ja",'Ground-Truth'!$D$4=""),"",IF(TEXT(M11,"0")=TEXT('Ground-Truth'!$D$4,"0"),1,0))</f>
        <v>1</v>
      </c>
      <c r="S11" s="2" t="str">
        <f>IF(OR('Ground-Truth'!$C$5&lt;&gt;"Ja",'Ground-Truth'!$D$5=""),"",IF(TEXT(N11,"0")=TEXT('Ground-Truth'!$D$5,"0"),1,0))</f>
        <v/>
      </c>
      <c r="T11" s="2" t="str">
        <f>IF(OR('Ground-Truth'!$C$6&lt;&gt;"Ja",'Ground-Truth'!$D$6=""),"",IF(TEXT(O11,"0")=TEXT('Ground-Truth'!$D$6,"0"),1,0))</f>
        <v/>
      </c>
      <c r="U11" s="2">
        <f t="shared" si="1"/>
        <v>2</v>
      </c>
      <c r="V11" s="2">
        <f t="shared" si="2"/>
        <v>3</v>
      </c>
      <c r="W11" s="2">
        <f t="shared" si="3"/>
        <v>66.666666666666657</v>
      </c>
      <c r="X11" s="4" t="str">
        <f t="shared" si="4"/>
        <v>gpt-4o-mini_C2_Precision</v>
      </c>
    </row>
    <row r="12" spans="1:24" ht="15" customHeight="1" x14ac:dyDescent="0.25">
      <c r="A12" s="3" t="s">
        <v>40</v>
      </c>
      <c r="B12" s="2" t="s">
        <v>46</v>
      </c>
      <c r="C12" s="2" t="s">
        <v>42</v>
      </c>
      <c r="D12" s="2">
        <v>1</v>
      </c>
      <c r="E12" s="2">
        <v>21.34</v>
      </c>
      <c r="F12" s="2">
        <v>1.7291000000000001E-2</v>
      </c>
      <c r="G12" s="2">
        <v>112054</v>
      </c>
      <c r="H12" s="2">
        <v>804</v>
      </c>
      <c r="I12" s="2">
        <f t="shared" si="0"/>
        <v>112858</v>
      </c>
      <c r="J12" s="2">
        <v>5</v>
      </c>
      <c r="K12" s="2" t="s">
        <v>8</v>
      </c>
      <c r="L12" s="2" t="s">
        <v>10</v>
      </c>
      <c r="M12" s="2" t="s">
        <v>12</v>
      </c>
      <c r="N12" s="2" t="s">
        <v>12</v>
      </c>
      <c r="O12" s="2" t="s">
        <v>15</v>
      </c>
      <c r="P12" s="2">
        <f>IF(OR('Ground-Truth'!$C$2&lt;&gt;"Ja",'Ground-Truth'!$D$2=""),"",IF(TEXT(K12,"0")=TEXT('Ground-Truth'!$D$2,"0"),1,0))</f>
        <v>1</v>
      </c>
      <c r="Q12" s="2">
        <f>IF(OR('Ground-Truth'!$C$3&lt;&gt;"Ja",'Ground-Truth'!$D$3=""),"",IF(TEXT(L12,"0")=TEXT('Ground-Truth'!$D$3,"0"),1,0))</f>
        <v>1</v>
      </c>
      <c r="R12" s="2">
        <f>IF(OR('Ground-Truth'!$C$4&lt;&gt;"Ja",'Ground-Truth'!$D$4=""),"",IF(TEXT(M12,"0")=TEXT('Ground-Truth'!$D$4,"0"),1,0))</f>
        <v>1</v>
      </c>
      <c r="S12" s="2" t="str">
        <f>IF(OR('Ground-Truth'!$C$5&lt;&gt;"Ja",'Ground-Truth'!$D$5=""),"",IF(TEXT(N12,"0")=TEXT('Ground-Truth'!$D$5,"0"),1,0))</f>
        <v/>
      </c>
      <c r="T12" s="2" t="str">
        <f>IF(OR('Ground-Truth'!$C$6&lt;&gt;"Ja",'Ground-Truth'!$D$6=""),"",IF(TEXT(O12,"0")=TEXT('Ground-Truth'!$D$6,"0"),1,0))</f>
        <v/>
      </c>
      <c r="U12" s="2">
        <f t="shared" si="1"/>
        <v>3</v>
      </c>
      <c r="V12" s="2">
        <f t="shared" si="2"/>
        <v>3</v>
      </c>
      <c r="W12" s="2">
        <f t="shared" si="3"/>
        <v>100</v>
      </c>
      <c r="X12" s="4" t="str">
        <f t="shared" si="4"/>
        <v>gpt-4o-mini_C3_Single</v>
      </c>
    </row>
    <row r="13" spans="1:24" ht="15" customHeight="1" x14ac:dyDescent="0.25">
      <c r="A13" s="3" t="s">
        <v>40</v>
      </c>
      <c r="B13" s="2" t="s">
        <v>46</v>
      </c>
      <c r="C13" s="2" t="s">
        <v>42</v>
      </c>
      <c r="D13" s="2">
        <v>2</v>
      </c>
      <c r="E13" s="2">
        <v>18.87</v>
      </c>
      <c r="F13" s="2">
        <v>1.7267000000000001E-2</v>
      </c>
      <c r="G13" s="2">
        <v>112054</v>
      </c>
      <c r="H13" s="2">
        <v>765</v>
      </c>
      <c r="I13" s="2">
        <f t="shared" si="0"/>
        <v>112819</v>
      </c>
      <c r="J13" s="2">
        <v>5</v>
      </c>
      <c r="K13" s="2" t="s">
        <v>43</v>
      </c>
      <c r="L13" s="2" t="s">
        <v>10</v>
      </c>
      <c r="M13" s="2" t="s">
        <v>12</v>
      </c>
      <c r="N13" s="2" t="s">
        <v>12</v>
      </c>
      <c r="O13" s="2" t="s">
        <v>15</v>
      </c>
      <c r="P13" s="2">
        <f>IF(OR('Ground-Truth'!$C$2&lt;&gt;"Ja",'Ground-Truth'!$D$2=""),"",IF(TEXT(K13,"0")=TEXT('Ground-Truth'!$D$2,"0"),1,0))</f>
        <v>0</v>
      </c>
      <c r="Q13" s="2">
        <f>IF(OR('Ground-Truth'!$C$3&lt;&gt;"Ja",'Ground-Truth'!$D$3=""),"",IF(TEXT(L13,"0")=TEXT('Ground-Truth'!$D$3,"0"),1,0))</f>
        <v>1</v>
      </c>
      <c r="R13" s="2">
        <f>IF(OR('Ground-Truth'!$C$4&lt;&gt;"Ja",'Ground-Truth'!$D$4=""),"",IF(TEXT(M13,"0")=TEXT('Ground-Truth'!$D$4,"0"),1,0))</f>
        <v>1</v>
      </c>
      <c r="S13" s="2" t="str">
        <f>IF(OR('Ground-Truth'!$C$5&lt;&gt;"Ja",'Ground-Truth'!$D$5=""),"",IF(TEXT(N13,"0")=TEXT('Ground-Truth'!$D$5,"0"),1,0))</f>
        <v/>
      </c>
      <c r="T13" s="2" t="str">
        <f>IF(OR('Ground-Truth'!$C$6&lt;&gt;"Ja",'Ground-Truth'!$D$6=""),"",IF(TEXT(O13,"0")=TEXT('Ground-Truth'!$D$6,"0"),1,0))</f>
        <v/>
      </c>
      <c r="U13" s="2">
        <f t="shared" si="1"/>
        <v>2</v>
      </c>
      <c r="V13" s="2">
        <f t="shared" si="2"/>
        <v>3</v>
      </c>
      <c r="W13" s="2">
        <f t="shared" si="3"/>
        <v>66.666666666666657</v>
      </c>
      <c r="X13" s="4" t="str">
        <f t="shared" si="4"/>
        <v>gpt-4o-mini_C3_Single</v>
      </c>
    </row>
    <row r="14" spans="1:24" ht="15" customHeight="1" x14ac:dyDescent="0.25">
      <c r="A14" s="3" t="s">
        <v>40</v>
      </c>
      <c r="B14" s="2" t="s">
        <v>46</v>
      </c>
      <c r="C14" s="2" t="s">
        <v>42</v>
      </c>
      <c r="D14" s="2">
        <v>3</v>
      </c>
      <c r="E14" s="2">
        <v>18.46</v>
      </c>
      <c r="F14" s="2">
        <v>1.7235E-2</v>
      </c>
      <c r="G14" s="2">
        <v>112054</v>
      </c>
      <c r="H14" s="2">
        <v>711</v>
      </c>
      <c r="I14" s="2">
        <f t="shared" si="0"/>
        <v>112765</v>
      </c>
      <c r="J14" s="2">
        <v>5</v>
      </c>
      <c r="K14" s="2" t="s">
        <v>43</v>
      </c>
      <c r="L14" s="2" t="s">
        <v>10</v>
      </c>
      <c r="M14" s="2" t="s">
        <v>12</v>
      </c>
      <c r="N14" s="2" t="s">
        <v>12</v>
      </c>
      <c r="O14" s="2" t="s">
        <v>15</v>
      </c>
      <c r="P14" s="2">
        <f>IF(OR('Ground-Truth'!$C$2&lt;&gt;"Ja",'Ground-Truth'!$D$2=""),"",IF(TEXT(K14,"0")=TEXT('Ground-Truth'!$D$2,"0"),1,0))</f>
        <v>0</v>
      </c>
      <c r="Q14" s="2">
        <f>IF(OR('Ground-Truth'!$C$3&lt;&gt;"Ja",'Ground-Truth'!$D$3=""),"",IF(TEXT(L14,"0")=TEXT('Ground-Truth'!$D$3,"0"),1,0))</f>
        <v>1</v>
      </c>
      <c r="R14" s="2">
        <f>IF(OR('Ground-Truth'!$C$4&lt;&gt;"Ja",'Ground-Truth'!$D$4=""),"",IF(TEXT(M14,"0")=TEXT('Ground-Truth'!$D$4,"0"),1,0))</f>
        <v>1</v>
      </c>
      <c r="S14" s="2" t="str">
        <f>IF(OR('Ground-Truth'!$C$5&lt;&gt;"Ja",'Ground-Truth'!$D$5=""),"",IF(TEXT(N14,"0")=TEXT('Ground-Truth'!$D$5,"0"),1,0))</f>
        <v/>
      </c>
      <c r="T14" s="2" t="str">
        <f>IF(OR('Ground-Truth'!$C$6&lt;&gt;"Ja",'Ground-Truth'!$D$6=""),"",IF(TEXT(O14,"0")=TEXT('Ground-Truth'!$D$6,"0"),1,0))</f>
        <v/>
      </c>
      <c r="U14" s="2">
        <f t="shared" si="1"/>
        <v>2</v>
      </c>
      <c r="V14" s="2">
        <f t="shared" si="2"/>
        <v>3</v>
      </c>
      <c r="W14" s="2">
        <f t="shared" si="3"/>
        <v>66.666666666666657</v>
      </c>
      <c r="X14" s="4" t="str">
        <f t="shared" si="4"/>
        <v>gpt-4o-mini_C3_Single</v>
      </c>
    </row>
    <row r="15" spans="1:24" ht="15" customHeight="1" x14ac:dyDescent="0.25">
      <c r="A15" s="3" t="s">
        <v>40</v>
      </c>
      <c r="B15" s="2" t="s">
        <v>46</v>
      </c>
      <c r="C15" s="2" t="s">
        <v>42</v>
      </c>
      <c r="D15" s="2">
        <v>4</v>
      </c>
      <c r="E15" s="2">
        <v>20.12</v>
      </c>
      <c r="F15" s="2">
        <v>1.7306999999999999E-2</v>
      </c>
      <c r="G15" s="2">
        <v>112054</v>
      </c>
      <c r="H15" s="2">
        <v>832</v>
      </c>
      <c r="I15" s="2">
        <f t="shared" si="0"/>
        <v>112886</v>
      </c>
      <c r="J15" s="2">
        <v>5</v>
      </c>
      <c r="K15" s="2" t="s">
        <v>8</v>
      </c>
      <c r="L15" s="2" t="s">
        <v>10</v>
      </c>
      <c r="M15" s="2" t="s">
        <v>12</v>
      </c>
      <c r="N15" s="2" t="s">
        <v>12</v>
      </c>
      <c r="O15" s="2" t="s">
        <v>15</v>
      </c>
      <c r="P15" s="2">
        <f>IF(OR('Ground-Truth'!$C$2&lt;&gt;"Ja",'Ground-Truth'!$D$2=""),"",IF(TEXT(K15,"0")=TEXT('Ground-Truth'!$D$2,"0"),1,0))</f>
        <v>1</v>
      </c>
      <c r="Q15" s="2">
        <f>IF(OR('Ground-Truth'!$C$3&lt;&gt;"Ja",'Ground-Truth'!$D$3=""),"",IF(TEXT(L15,"0")=TEXT('Ground-Truth'!$D$3,"0"),1,0))</f>
        <v>1</v>
      </c>
      <c r="R15" s="2">
        <f>IF(OR('Ground-Truth'!$C$4&lt;&gt;"Ja",'Ground-Truth'!$D$4=""),"",IF(TEXT(M15,"0")=TEXT('Ground-Truth'!$D$4,"0"),1,0))</f>
        <v>1</v>
      </c>
      <c r="S15" s="2" t="str">
        <f>IF(OR('Ground-Truth'!$C$5&lt;&gt;"Ja",'Ground-Truth'!$D$5=""),"",IF(TEXT(N15,"0")=TEXT('Ground-Truth'!$D$5,"0"),1,0))</f>
        <v/>
      </c>
      <c r="T15" s="2" t="str">
        <f>IF(OR('Ground-Truth'!$C$6&lt;&gt;"Ja",'Ground-Truth'!$D$6=""),"",IF(TEXT(O15,"0")=TEXT('Ground-Truth'!$D$6,"0"),1,0))</f>
        <v/>
      </c>
      <c r="U15" s="2">
        <f t="shared" si="1"/>
        <v>3</v>
      </c>
      <c r="V15" s="2">
        <f t="shared" si="2"/>
        <v>3</v>
      </c>
      <c r="W15" s="2">
        <f t="shared" si="3"/>
        <v>100</v>
      </c>
      <c r="X15" s="4" t="str">
        <f t="shared" si="4"/>
        <v>gpt-4o-mini_C3_Single</v>
      </c>
    </row>
    <row r="16" spans="1:24" ht="15" customHeight="1" x14ac:dyDescent="0.25">
      <c r="A16" s="3" t="s">
        <v>40</v>
      </c>
      <c r="B16" s="2" t="s">
        <v>46</v>
      </c>
      <c r="C16" s="2" t="s">
        <v>42</v>
      </c>
      <c r="D16" s="2">
        <v>5</v>
      </c>
      <c r="E16" s="2">
        <v>24.53</v>
      </c>
      <c r="F16" s="2">
        <v>1.7500000000000002E-2</v>
      </c>
      <c r="G16" s="2">
        <v>112054</v>
      </c>
      <c r="H16" s="2">
        <v>1154</v>
      </c>
      <c r="I16" s="2">
        <f t="shared" si="0"/>
        <v>113208</v>
      </c>
      <c r="J16" s="2">
        <v>5</v>
      </c>
      <c r="K16" s="2" t="s">
        <v>8</v>
      </c>
      <c r="L16" s="2" t="s">
        <v>10</v>
      </c>
      <c r="M16" s="2" t="s">
        <v>12</v>
      </c>
      <c r="N16" s="2" t="s">
        <v>12</v>
      </c>
      <c r="O16" s="2" t="s">
        <v>15</v>
      </c>
      <c r="P16" s="2">
        <f>IF(OR('Ground-Truth'!$C$2&lt;&gt;"Ja",'Ground-Truth'!$D$2=""),"",IF(TEXT(K16,"0")=TEXT('Ground-Truth'!$D$2,"0"),1,0))</f>
        <v>1</v>
      </c>
      <c r="Q16" s="2">
        <f>IF(OR('Ground-Truth'!$C$3&lt;&gt;"Ja",'Ground-Truth'!$D$3=""),"",IF(TEXT(L16,"0")=TEXT('Ground-Truth'!$D$3,"0"),1,0))</f>
        <v>1</v>
      </c>
      <c r="R16" s="2">
        <f>IF(OR('Ground-Truth'!$C$4&lt;&gt;"Ja",'Ground-Truth'!$D$4=""),"",IF(TEXT(M16,"0")=TEXT('Ground-Truth'!$D$4,"0"),1,0))</f>
        <v>1</v>
      </c>
      <c r="S16" s="2" t="str">
        <f>IF(OR('Ground-Truth'!$C$5&lt;&gt;"Ja",'Ground-Truth'!$D$5=""),"",IF(TEXT(N16,"0")=TEXT('Ground-Truth'!$D$5,"0"),1,0))</f>
        <v/>
      </c>
      <c r="T16" s="2" t="str">
        <f>IF(OR('Ground-Truth'!$C$6&lt;&gt;"Ja",'Ground-Truth'!$D$6=""),"",IF(TEXT(O16,"0")=TEXT('Ground-Truth'!$D$6,"0"),1,0))</f>
        <v/>
      </c>
      <c r="U16" s="2">
        <f t="shared" si="1"/>
        <v>3</v>
      </c>
      <c r="V16" s="2">
        <f t="shared" si="2"/>
        <v>3</v>
      </c>
      <c r="W16" s="2">
        <f t="shared" si="3"/>
        <v>100</v>
      </c>
      <c r="X16" s="4" t="str">
        <f t="shared" si="4"/>
        <v>gpt-4o-mini_C3_Single</v>
      </c>
    </row>
    <row r="17" spans="1:24" ht="15" customHeight="1" x14ac:dyDescent="0.25">
      <c r="A17" s="3" t="s">
        <v>40</v>
      </c>
      <c r="B17" s="2" t="s">
        <v>47</v>
      </c>
      <c r="C17" s="2" t="s">
        <v>42</v>
      </c>
      <c r="D17" s="2">
        <v>1</v>
      </c>
      <c r="E17" s="2">
        <v>26.24</v>
      </c>
      <c r="F17" s="2">
        <v>1.7562999999999999E-2</v>
      </c>
      <c r="G17" s="2">
        <v>112054</v>
      </c>
      <c r="H17" s="2">
        <v>1259</v>
      </c>
      <c r="I17" s="2">
        <f t="shared" si="0"/>
        <v>113313</v>
      </c>
      <c r="J17" s="2">
        <v>5</v>
      </c>
      <c r="K17" s="2" t="s">
        <v>8</v>
      </c>
      <c r="L17" s="2" t="s">
        <v>10</v>
      </c>
      <c r="M17" s="2" t="s">
        <v>12</v>
      </c>
      <c r="N17" s="2" t="s">
        <v>12</v>
      </c>
      <c r="O17" s="2" t="s">
        <v>15</v>
      </c>
      <c r="P17" s="2">
        <f>IF(OR('Ground-Truth'!$C$2&lt;&gt;"Ja",'Ground-Truth'!$D$2=""),"",IF(TEXT(K17,"0")=TEXT('Ground-Truth'!$D$2,"0"),1,0))</f>
        <v>1</v>
      </c>
      <c r="Q17" s="2">
        <f>IF(OR('Ground-Truth'!$C$3&lt;&gt;"Ja",'Ground-Truth'!$D$3=""),"",IF(TEXT(L17,"0")=TEXT('Ground-Truth'!$D$3,"0"),1,0))</f>
        <v>1</v>
      </c>
      <c r="R17" s="2">
        <f>IF(OR('Ground-Truth'!$C$4&lt;&gt;"Ja",'Ground-Truth'!$D$4=""),"",IF(TEXT(M17,"0")=TEXT('Ground-Truth'!$D$4,"0"),1,0))</f>
        <v>1</v>
      </c>
      <c r="S17" s="2" t="str">
        <f>IF(OR('Ground-Truth'!$C$5&lt;&gt;"Ja",'Ground-Truth'!$D$5=""),"",IF(TEXT(N17,"0")=TEXT('Ground-Truth'!$D$5,"0"),1,0))</f>
        <v/>
      </c>
      <c r="T17" s="2" t="str">
        <f>IF(OR('Ground-Truth'!$C$6&lt;&gt;"Ja",'Ground-Truth'!$D$6=""),"",IF(TEXT(O17,"0")=TEXT('Ground-Truth'!$D$6,"0"),1,0))</f>
        <v/>
      </c>
      <c r="U17" s="2">
        <f t="shared" si="1"/>
        <v>3</v>
      </c>
      <c r="V17" s="2">
        <f t="shared" si="2"/>
        <v>3</v>
      </c>
      <c r="W17" s="2">
        <f t="shared" si="3"/>
        <v>100</v>
      </c>
      <c r="X17" s="4" t="str">
        <f t="shared" si="4"/>
        <v>gpt-4o-mini_C4_Baseline</v>
      </c>
    </row>
    <row r="18" spans="1:24" ht="15" customHeight="1" x14ac:dyDescent="0.25">
      <c r="A18" s="3" t="s">
        <v>40</v>
      </c>
      <c r="B18" s="2" t="s">
        <v>47</v>
      </c>
      <c r="C18" s="2" t="s">
        <v>42</v>
      </c>
      <c r="D18" s="2">
        <v>2</v>
      </c>
      <c r="E18" s="2">
        <v>30.39</v>
      </c>
      <c r="F18" s="2">
        <v>1.7465999999999999E-2</v>
      </c>
      <c r="G18" s="2">
        <v>112054</v>
      </c>
      <c r="H18" s="2">
        <v>1097</v>
      </c>
      <c r="I18" s="2">
        <f t="shared" si="0"/>
        <v>113151</v>
      </c>
      <c r="J18" s="2">
        <v>5</v>
      </c>
      <c r="K18" s="2" t="s">
        <v>8</v>
      </c>
      <c r="L18" s="2" t="s">
        <v>10</v>
      </c>
      <c r="M18" s="2" t="s">
        <v>12</v>
      </c>
      <c r="N18" s="2" t="s">
        <v>12</v>
      </c>
      <c r="O18" s="2" t="s">
        <v>15</v>
      </c>
      <c r="P18" s="2">
        <f>IF(OR('Ground-Truth'!$C$2&lt;&gt;"Ja",'Ground-Truth'!$D$2=""),"",IF(TEXT(K18,"0")=TEXT('Ground-Truth'!$D$2,"0"),1,0))</f>
        <v>1</v>
      </c>
      <c r="Q18" s="2">
        <f>IF(OR('Ground-Truth'!$C$3&lt;&gt;"Ja",'Ground-Truth'!$D$3=""),"",IF(TEXT(L18,"0")=TEXT('Ground-Truth'!$D$3,"0"),1,0))</f>
        <v>1</v>
      </c>
      <c r="R18" s="2">
        <f>IF(OR('Ground-Truth'!$C$4&lt;&gt;"Ja",'Ground-Truth'!$D$4=""),"",IF(TEXT(M18,"0")=TEXT('Ground-Truth'!$D$4,"0"),1,0))</f>
        <v>1</v>
      </c>
      <c r="S18" s="2" t="str">
        <f>IF(OR('Ground-Truth'!$C$5&lt;&gt;"Ja",'Ground-Truth'!$D$5=""),"",IF(TEXT(N18,"0")=TEXT('Ground-Truth'!$D$5,"0"),1,0))</f>
        <v/>
      </c>
      <c r="T18" s="2" t="str">
        <f>IF(OR('Ground-Truth'!$C$6&lt;&gt;"Ja",'Ground-Truth'!$D$6=""),"",IF(TEXT(O18,"0")=TEXT('Ground-Truth'!$D$6,"0"),1,0))</f>
        <v/>
      </c>
      <c r="U18" s="2">
        <f t="shared" si="1"/>
        <v>3</v>
      </c>
      <c r="V18" s="2">
        <f t="shared" si="2"/>
        <v>3</v>
      </c>
      <c r="W18" s="2">
        <f t="shared" si="3"/>
        <v>100</v>
      </c>
      <c r="X18" s="4" t="str">
        <f t="shared" si="4"/>
        <v>gpt-4o-mini_C4_Baseline</v>
      </c>
    </row>
    <row r="19" spans="1:24" ht="15" customHeight="1" x14ac:dyDescent="0.25">
      <c r="A19" s="3" t="s">
        <v>40</v>
      </c>
      <c r="B19" s="2" t="s">
        <v>47</v>
      </c>
      <c r="C19" s="2" t="s">
        <v>42</v>
      </c>
      <c r="D19" s="2">
        <v>3</v>
      </c>
      <c r="E19" s="2">
        <v>29.39</v>
      </c>
      <c r="F19" s="2">
        <v>1.7600999999999999E-2</v>
      </c>
      <c r="G19" s="2">
        <v>112054</v>
      </c>
      <c r="H19" s="2">
        <v>1321</v>
      </c>
      <c r="I19" s="2">
        <f t="shared" si="0"/>
        <v>113375</v>
      </c>
      <c r="J19" s="2">
        <v>5</v>
      </c>
      <c r="K19" s="2" t="s">
        <v>8</v>
      </c>
      <c r="L19" s="2" t="s">
        <v>10</v>
      </c>
      <c r="M19" s="2" t="s">
        <v>12</v>
      </c>
      <c r="N19" s="2" t="s">
        <v>12</v>
      </c>
      <c r="O19" s="2" t="s">
        <v>15</v>
      </c>
      <c r="P19" s="2">
        <f>IF(OR('Ground-Truth'!$C$2&lt;&gt;"Ja",'Ground-Truth'!$D$2=""),"",IF(TEXT(K19,"0")=TEXT('Ground-Truth'!$D$2,"0"),1,0))</f>
        <v>1</v>
      </c>
      <c r="Q19" s="2">
        <f>IF(OR('Ground-Truth'!$C$3&lt;&gt;"Ja",'Ground-Truth'!$D$3=""),"",IF(TEXT(L19,"0")=TEXT('Ground-Truth'!$D$3,"0"),1,0))</f>
        <v>1</v>
      </c>
      <c r="R19" s="2">
        <f>IF(OR('Ground-Truth'!$C$4&lt;&gt;"Ja",'Ground-Truth'!$D$4=""),"",IF(TEXT(M19,"0")=TEXT('Ground-Truth'!$D$4,"0"),1,0))</f>
        <v>1</v>
      </c>
      <c r="S19" s="2" t="str">
        <f>IF(OR('Ground-Truth'!$C$5&lt;&gt;"Ja",'Ground-Truth'!$D$5=""),"",IF(TEXT(N19,"0")=TEXT('Ground-Truth'!$D$5,"0"),1,0))</f>
        <v/>
      </c>
      <c r="T19" s="2" t="str">
        <f>IF(OR('Ground-Truth'!$C$6&lt;&gt;"Ja",'Ground-Truth'!$D$6=""),"",IF(TEXT(O19,"0")=TEXT('Ground-Truth'!$D$6,"0"),1,0))</f>
        <v/>
      </c>
      <c r="U19" s="2">
        <f t="shared" si="1"/>
        <v>3</v>
      </c>
      <c r="V19" s="2">
        <f t="shared" si="2"/>
        <v>3</v>
      </c>
      <c r="W19" s="2">
        <f t="shared" si="3"/>
        <v>100</v>
      </c>
      <c r="X19" s="4" t="str">
        <f t="shared" si="4"/>
        <v>gpt-4o-mini_C4_Baseline</v>
      </c>
    </row>
    <row r="20" spans="1:24" ht="15" customHeight="1" x14ac:dyDescent="0.25">
      <c r="A20" s="3" t="s">
        <v>40</v>
      </c>
      <c r="B20" s="2" t="s">
        <v>47</v>
      </c>
      <c r="C20" s="2" t="s">
        <v>42</v>
      </c>
      <c r="D20" s="2">
        <v>4</v>
      </c>
      <c r="E20" s="2">
        <v>28.78</v>
      </c>
      <c r="F20" s="2">
        <v>1.7666000000000001E-2</v>
      </c>
      <c r="G20" s="2">
        <v>112054</v>
      </c>
      <c r="H20" s="2">
        <v>1430</v>
      </c>
      <c r="I20" s="2">
        <f t="shared" si="0"/>
        <v>113484</v>
      </c>
      <c r="J20" s="2">
        <v>5</v>
      </c>
      <c r="K20" s="2" t="s">
        <v>8</v>
      </c>
      <c r="L20" s="2" t="s">
        <v>10</v>
      </c>
      <c r="M20" s="2" t="s">
        <v>12</v>
      </c>
      <c r="N20" s="2" t="s">
        <v>12</v>
      </c>
      <c r="O20" s="2" t="s">
        <v>15</v>
      </c>
      <c r="P20" s="2">
        <f>IF(OR('Ground-Truth'!$C$2&lt;&gt;"Ja",'Ground-Truth'!$D$2=""),"",IF(TEXT(K20,"0")=TEXT('Ground-Truth'!$D$2,"0"),1,0))</f>
        <v>1</v>
      </c>
      <c r="Q20" s="2">
        <f>IF(OR('Ground-Truth'!$C$3&lt;&gt;"Ja",'Ground-Truth'!$D$3=""),"",IF(TEXT(L20,"0")=TEXT('Ground-Truth'!$D$3,"0"),1,0))</f>
        <v>1</v>
      </c>
      <c r="R20" s="2">
        <f>IF(OR('Ground-Truth'!$C$4&lt;&gt;"Ja",'Ground-Truth'!$D$4=""),"",IF(TEXT(M20,"0")=TEXT('Ground-Truth'!$D$4,"0"),1,0))</f>
        <v>1</v>
      </c>
      <c r="S20" s="2" t="str">
        <f>IF(OR('Ground-Truth'!$C$5&lt;&gt;"Ja",'Ground-Truth'!$D$5=""),"",IF(TEXT(N20,"0")=TEXT('Ground-Truth'!$D$5,"0"),1,0))</f>
        <v/>
      </c>
      <c r="T20" s="2" t="str">
        <f>IF(OR('Ground-Truth'!$C$6&lt;&gt;"Ja",'Ground-Truth'!$D$6=""),"",IF(TEXT(O20,"0")=TEXT('Ground-Truth'!$D$6,"0"),1,0))</f>
        <v/>
      </c>
      <c r="U20" s="2">
        <f t="shared" si="1"/>
        <v>3</v>
      </c>
      <c r="V20" s="2">
        <f t="shared" si="2"/>
        <v>3</v>
      </c>
      <c r="W20" s="2">
        <f t="shared" si="3"/>
        <v>100</v>
      </c>
      <c r="X20" s="4" t="str">
        <f t="shared" si="4"/>
        <v>gpt-4o-mini_C4_Baseline</v>
      </c>
    </row>
    <row r="21" spans="1:24" ht="15" customHeight="1" x14ac:dyDescent="0.25">
      <c r="A21" s="3" t="s">
        <v>40</v>
      </c>
      <c r="B21" s="2" t="s">
        <v>47</v>
      </c>
      <c r="C21" s="2" t="s">
        <v>42</v>
      </c>
      <c r="D21" s="2">
        <v>5</v>
      </c>
      <c r="E21" s="2">
        <v>28.51</v>
      </c>
      <c r="F21" s="2">
        <v>1.7624999999999998E-2</v>
      </c>
      <c r="G21" s="2">
        <v>112054</v>
      </c>
      <c r="H21" s="2">
        <v>1362</v>
      </c>
      <c r="I21" s="2">
        <f t="shared" si="0"/>
        <v>113416</v>
      </c>
      <c r="J21" s="2">
        <v>5</v>
      </c>
      <c r="K21" s="2" t="s">
        <v>8</v>
      </c>
      <c r="L21" s="2" t="s">
        <v>10</v>
      </c>
      <c r="M21" s="2" t="s">
        <v>12</v>
      </c>
      <c r="N21" s="2" t="s">
        <v>12</v>
      </c>
      <c r="O21" s="2" t="s">
        <v>15</v>
      </c>
      <c r="P21" s="2">
        <f>IF(OR('Ground-Truth'!$C$2&lt;&gt;"Ja",'Ground-Truth'!$D$2=""),"",IF(TEXT(K21,"0")=TEXT('Ground-Truth'!$D$2,"0"),1,0))</f>
        <v>1</v>
      </c>
      <c r="Q21" s="2">
        <f>IF(OR('Ground-Truth'!$C$3&lt;&gt;"Ja",'Ground-Truth'!$D$3=""),"",IF(TEXT(L21,"0")=TEXT('Ground-Truth'!$D$3,"0"),1,0))</f>
        <v>1</v>
      </c>
      <c r="R21" s="2">
        <f>IF(OR('Ground-Truth'!$C$4&lt;&gt;"Ja",'Ground-Truth'!$D$4=""),"",IF(TEXT(M21,"0")=TEXT('Ground-Truth'!$D$4,"0"),1,0))</f>
        <v>1</v>
      </c>
      <c r="S21" s="2" t="str">
        <f>IF(OR('Ground-Truth'!$C$5&lt;&gt;"Ja",'Ground-Truth'!$D$5=""),"",IF(TEXT(N21,"0")=TEXT('Ground-Truth'!$D$5,"0"),1,0))</f>
        <v/>
      </c>
      <c r="T21" s="2" t="str">
        <f>IF(OR('Ground-Truth'!$C$6&lt;&gt;"Ja",'Ground-Truth'!$D$6=""),"",IF(TEXT(O21,"0")=TEXT('Ground-Truth'!$D$6,"0"),1,0))</f>
        <v/>
      </c>
      <c r="U21" s="2">
        <f t="shared" si="1"/>
        <v>3</v>
      </c>
      <c r="V21" s="2">
        <f t="shared" si="2"/>
        <v>3</v>
      </c>
      <c r="W21" s="2">
        <f t="shared" si="3"/>
        <v>100</v>
      </c>
      <c r="X21" s="4" t="str">
        <f t="shared" si="4"/>
        <v>gpt-4o-mini_C4_Baseline</v>
      </c>
    </row>
    <row r="22" spans="1:24" ht="15" customHeight="1" x14ac:dyDescent="0.25">
      <c r="A22" s="3" t="s">
        <v>40</v>
      </c>
      <c r="B22" s="2" t="s">
        <v>48</v>
      </c>
      <c r="C22" s="2" t="s">
        <v>42</v>
      </c>
      <c r="D22" s="2">
        <v>1</v>
      </c>
      <c r="E22" s="2">
        <v>7.87</v>
      </c>
      <c r="F22" s="2">
        <v>9.2500000000000004E-4</v>
      </c>
      <c r="G22" s="2">
        <v>4419</v>
      </c>
      <c r="H22" s="2">
        <v>437</v>
      </c>
      <c r="I22" s="2">
        <f t="shared" si="0"/>
        <v>4856</v>
      </c>
      <c r="J22" s="2">
        <v>1</v>
      </c>
      <c r="K22" s="2" t="s">
        <v>43</v>
      </c>
      <c r="L22" s="2" t="s">
        <v>10</v>
      </c>
      <c r="M22" s="2" t="s">
        <v>12</v>
      </c>
      <c r="N22" s="2" t="s">
        <v>12</v>
      </c>
      <c r="O22" s="2" t="s">
        <v>15</v>
      </c>
      <c r="P22" s="2">
        <f>IF(OR('Ground-Truth'!$C$2&lt;&gt;"Ja",'Ground-Truth'!$D$2=""),"",IF(TEXT(K22,"0")=TEXT('Ground-Truth'!$D$2,"0"),1,0))</f>
        <v>0</v>
      </c>
      <c r="Q22" s="2">
        <f>IF(OR('Ground-Truth'!$C$3&lt;&gt;"Ja",'Ground-Truth'!$D$3=""),"",IF(TEXT(L22,"0")=TEXT('Ground-Truth'!$D$3,"0"),1,0))</f>
        <v>1</v>
      </c>
      <c r="R22" s="2">
        <f>IF(OR('Ground-Truth'!$C$4&lt;&gt;"Ja",'Ground-Truth'!$D$4=""),"",IF(TEXT(M22,"0")=TEXT('Ground-Truth'!$D$4,"0"),1,0))</f>
        <v>1</v>
      </c>
      <c r="S22" s="2" t="str">
        <f>IF(OR('Ground-Truth'!$C$5&lt;&gt;"Ja",'Ground-Truth'!$D$5=""),"",IF(TEXT(N22,"0")=TEXT('Ground-Truth'!$D$5,"0"),1,0))</f>
        <v/>
      </c>
      <c r="T22" s="2" t="str">
        <f>IF(OR('Ground-Truth'!$C$6&lt;&gt;"Ja",'Ground-Truth'!$D$6=""),"",IF(TEXT(O22,"0")=TEXT('Ground-Truth'!$D$6,"0"),1,0))</f>
        <v/>
      </c>
      <c r="U22" s="2">
        <f t="shared" si="1"/>
        <v>2</v>
      </c>
      <c r="V22" s="2">
        <f t="shared" si="2"/>
        <v>3</v>
      </c>
      <c r="W22" s="2">
        <f t="shared" si="3"/>
        <v>66.666666666666657</v>
      </c>
      <c r="X22" s="4" t="str">
        <f t="shared" si="4"/>
        <v>gpt-4o-mini_C5_BatchFiltered</v>
      </c>
    </row>
    <row r="23" spans="1:24" ht="15" customHeight="1" x14ac:dyDescent="0.25">
      <c r="A23" s="3" t="s">
        <v>40</v>
      </c>
      <c r="B23" s="2" t="s">
        <v>48</v>
      </c>
      <c r="C23" s="2" t="s">
        <v>42</v>
      </c>
      <c r="D23" s="2">
        <v>2</v>
      </c>
      <c r="E23" s="2">
        <v>10.61</v>
      </c>
      <c r="F23" s="2">
        <v>1.0150000000000001E-3</v>
      </c>
      <c r="G23" s="2">
        <v>4419</v>
      </c>
      <c r="H23" s="2">
        <v>587</v>
      </c>
      <c r="I23" s="2">
        <f t="shared" si="0"/>
        <v>5006</v>
      </c>
      <c r="J23" s="2">
        <v>1</v>
      </c>
      <c r="K23" s="2" t="s">
        <v>43</v>
      </c>
      <c r="L23" s="2" t="s">
        <v>10</v>
      </c>
      <c r="M23" s="2" t="s">
        <v>12</v>
      </c>
      <c r="N23" s="2" t="s">
        <v>12</v>
      </c>
      <c r="O23" s="2" t="s">
        <v>15</v>
      </c>
      <c r="P23" s="2">
        <f>IF(OR('Ground-Truth'!$C$2&lt;&gt;"Ja",'Ground-Truth'!$D$2=""),"",IF(TEXT(K23,"0")=TEXT('Ground-Truth'!$D$2,"0"),1,0))</f>
        <v>0</v>
      </c>
      <c r="Q23" s="2">
        <f>IF(OR('Ground-Truth'!$C$3&lt;&gt;"Ja",'Ground-Truth'!$D$3=""),"",IF(TEXT(L23,"0")=TEXT('Ground-Truth'!$D$3,"0"),1,0))</f>
        <v>1</v>
      </c>
      <c r="R23" s="2">
        <f>IF(OR('Ground-Truth'!$C$4&lt;&gt;"Ja",'Ground-Truth'!$D$4=""),"",IF(TEXT(M23,"0")=TEXT('Ground-Truth'!$D$4,"0"),1,0))</f>
        <v>1</v>
      </c>
      <c r="S23" s="2" t="str">
        <f>IF(OR('Ground-Truth'!$C$5&lt;&gt;"Ja",'Ground-Truth'!$D$5=""),"",IF(TEXT(N23,"0")=TEXT('Ground-Truth'!$D$5,"0"),1,0))</f>
        <v/>
      </c>
      <c r="T23" s="2" t="str">
        <f>IF(OR('Ground-Truth'!$C$6&lt;&gt;"Ja",'Ground-Truth'!$D$6=""),"",IF(TEXT(O23,"0")=TEXT('Ground-Truth'!$D$6,"0"),1,0))</f>
        <v/>
      </c>
      <c r="U23" s="2">
        <f t="shared" si="1"/>
        <v>2</v>
      </c>
      <c r="V23" s="2">
        <f t="shared" si="2"/>
        <v>3</v>
      </c>
      <c r="W23" s="2">
        <f t="shared" si="3"/>
        <v>66.666666666666657</v>
      </c>
      <c r="X23" s="4" t="str">
        <f t="shared" si="4"/>
        <v>gpt-4o-mini_C5_BatchFiltered</v>
      </c>
    </row>
    <row r="24" spans="1:24" ht="15" customHeight="1" x14ac:dyDescent="0.25">
      <c r="A24" s="3" t="s">
        <v>40</v>
      </c>
      <c r="B24" s="2" t="s">
        <v>48</v>
      </c>
      <c r="C24" s="2" t="s">
        <v>42</v>
      </c>
      <c r="D24" s="2">
        <v>3</v>
      </c>
      <c r="E24" s="2">
        <v>9.1199999999999992</v>
      </c>
      <c r="F24" s="2">
        <v>9.2400000000000002E-4</v>
      </c>
      <c r="G24" s="2">
        <v>4419</v>
      </c>
      <c r="H24" s="2">
        <v>436</v>
      </c>
      <c r="I24" s="2">
        <f t="shared" si="0"/>
        <v>4855</v>
      </c>
      <c r="J24" s="2">
        <v>1</v>
      </c>
      <c r="K24" s="2" t="s">
        <v>43</v>
      </c>
      <c r="L24" s="2" t="s">
        <v>10</v>
      </c>
      <c r="M24" s="2" t="s">
        <v>12</v>
      </c>
      <c r="N24" s="2" t="s">
        <v>12</v>
      </c>
      <c r="O24" s="2" t="s">
        <v>15</v>
      </c>
      <c r="P24" s="2">
        <f>IF(OR('Ground-Truth'!$C$2&lt;&gt;"Ja",'Ground-Truth'!$D$2=""),"",IF(TEXT(K24,"0")=TEXT('Ground-Truth'!$D$2,"0"),1,0))</f>
        <v>0</v>
      </c>
      <c r="Q24" s="2">
        <f>IF(OR('Ground-Truth'!$C$3&lt;&gt;"Ja",'Ground-Truth'!$D$3=""),"",IF(TEXT(L24,"0")=TEXT('Ground-Truth'!$D$3,"0"),1,0))</f>
        <v>1</v>
      </c>
      <c r="R24" s="2">
        <f>IF(OR('Ground-Truth'!$C$4&lt;&gt;"Ja",'Ground-Truth'!$D$4=""),"",IF(TEXT(M24,"0")=TEXT('Ground-Truth'!$D$4,"0"),1,0))</f>
        <v>1</v>
      </c>
      <c r="S24" s="2" t="str">
        <f>IF(OR('Ground-Truth'!$C$5&lt;&gt;"Ja",'Ground-Truth'!$D$5=""),"",IF(TEXT(N24,"0")=TEXT('Ground-Truth'!$D$5,"0"),1,0))</f>
        <v/>
      </c>
      <c r="T24" s="2" t="str">
        <f>IF(OR('Ground-Truth'!$C$6&lt;&gt;"Ja",'Ground-Truth'!$D$6=""),"",IF(TEXT(O24,"0")=TEXT('Ground-Truth'!$D$6,"0"),1,0))</f>
        <v/>
      </c>
      <c r="U24" s="2">
        <f t="shared" si="1"/>
        <v>2</v>
      </c>
      <c r="V24" s="2">
        <f t="shared" si="2"/>
        <v>3</v>
      </c>
      <c r="W24" s="2">
        <f t="shared" si="3"/>
        <v>66.666666666666657</v>
      </c>
      <c r="X24" s="4" t="str">
        <f t="shared" si="4"/>
        <v>gpt-4o-mini_C5_BatchFiltered</v>
      </c>
    </row>
    <row r="25" spans="1:24" ht="15" customHeight="1" x14ac:dyDescent="0.25">
      <c r="A25" s="3" t="s">
        <v>40</v>
      </c>
      <c r="B25" s="2" t="s">
        <v>48</v>
      </c>
      <c r="C25" s="2" t="s">
        <v>42</v>
      </c>
      <c r="D25" s="2">
        <v>4</v>
      </c>
      <c r="E25" s="2">
        <v>8.2200000000000006</v>
      </c>
      <c r="F25" s="2">
        <v>9.2199999999999997E-4</v>
      </c>
      <c r="G25" s="2">
        <v>4419</v>
      </c>
      <c r="H25" s="2">
        <v>432</v>
      </c>
      <c r="I25" s="2">
        <f t="shared" si="0"/>
        <v>4851</v>
      </c>
      <c r="J25" s="2">
        <v>1</v>
      </c>
      <c r="K25" s="2" t="s">
        <v>43</v>
      </c>
      <c r="L25" s="2" t="s">
        <v>10</v>
      </c>
      <c r="M25" s="2" t="s">
        <v>12</v>
      </c>
      <c r="N25" s="2" t="s">
        <v>12</v>
      </c>
      <c r="O25" s="2" t="s">
        <v>15</v>
      </c>
      <c r="P25" s="2">
        <f>IF(OR('Ground-Truth'!$C$2&lt;&gt;"Ja",'Ground-Truth'!$D$2=""),"",IF(TEXT(K25,"0")=TEXT('Ground-Truth'!$D$2,"0"),1,0))</f>
        <v>0</v>
      </c>
      <c r="Q25" s="2">
        <f>IF(OR('Ground-Truth'!$C$3&lt;&gt;"Ja",'Ground-Truth'!$D$3=""),"",IF(TEXT(L25,"0")=TEXT('Ground-Truth'!$D$3,"0"),1,0))</f>
        <v>1</v>
      </c>
      <c r="R25" s="2">
        <f>IF(OR('Ground-Truth'!$C$4&lt;&gt;"Ja",'Ground-Truth'!$D$4=""),"",IF(TEXT(M25,"0")=TEXT('Ground-Truth'!$D$4,"0"),1,0))</f>
        <v>1</v>
      </c>
      <c r="S25" s="2" t="str">
        <f>IF(OR('Ground-Truth'!$C$5&lt;&gt;"Ja",'Ground-Truth'!$D$5=""),"",IF(TEXT(N25,"0")=TEXT('Ground-Truth'!$D$5,"0"),1,0))</f>
        <v/>
      </c>
      <c r="T25" s="2" t="str">
        <f>IF(OR('Ground-Truth'!$C$6&lt;&gt;"Ja",'Ground-Truth'!$D$6=""),"",IF(TEXT(O25,"0")=TEXT('Ground-Truth'!$D$6,"0"),1,0))</f>
        <v/>
      </c>
      <c r="U25" s="2">
        <f t="shared" si="1"/>
        <v>2</v>
      </c>
      <c r="V25" s="2">
        <f t="shared" si="2"/>
        <v>3</v>
      </c>
      <c r="W25" s="2">
        <f t="shared" si="3"/>
        <v>66.666666666666657</v>
      </c>
      <c r="X25" s="4" t="str">
        <f t="shared" si="4"/>
        <v>gpt-4o-mini_C5_BatchFiltered</v>
      </c>
    </row>
    <row r="26" spans="1:24" ht="15" customHeight="1" x14ac:dyDescent="0.25">
      <c r="A26" s="3" t="s">
        <v>40</v>
      </c>
      <c r="B26" s="2" t="s">
        <v>48</v>
      </c>
      <c r="C26" s="2" t="s">
        <v>42</v>
      </c>
      <c r="D26" s="2">
        <v>5</v>
      </c>
      <c r="E26" s="2">
        <v>8.18</v>
      </c>
      <c r="F26" s="2">
        <v>9.19E-4</v>
      </c>
      <c r="G26" s="2">
        <v>4419</v>
      </c>
      <c r="H26" s="2">
        <v>427</v>
      </c>
      <c r="I26" s="2">
        <f t="shared" si="0"/>
        <v>4846</v>
      </c>
      <c r="J26" s="2">
        <v>1</v>
      </c>
      <c r="K26" s="2" t="s">
        <v>43</v>
      </c>
      <c r="L26" s="2" t="s">
        <v>10</v>
      </c>
      <c r="M26" s="2" t="s">
        <v>12</v>
      </c>
      <c r="N26" s="2" t="s">
        <v>12</v>
      </c>
      <c r="O26" s="2" t="s">
        <v>15</v>
      </c>
      <c r="P26" s="2">
        <f>IF(OR('Ground-Truth'!$C$2&lt;&gt;"Ja",'Ground-Truth'!$D$2=""),"",IF(TEXT(K26,"0")=TEXT('Ground-Truth'!$D$2,"0"),1,0))</f>
        <v>0</v>
      </c>
      <c r="Q26" s="2">
        <f>IF(OR('Ground-Truth'!$C$3&lt;&gt;"Ja",'Ground-Truth'!$D$3=""),"",IF(TEXT(L26,"0")=TEXT('Ground-Truth'!$D$3,"0"),1,0))</f>
        <v>1</v>
      </c>
      <c r="R26" s="2">
        <f>IF(OR('Ground-Truth'!$C$4&lt;&gt;"Ja",'Ground-Truth'!$D$4=""),"",IF(TEXT(M26,"0")=TEXT('Ground-Truth'!$D$4,"0"),1,0))</f>
        <v>1</v>
      </c>
      <c r="S26" s="2" t="str">
        <f>IF(OR('Ground-Truth'!$C$5&lt;&gt;"Ja",'Ground-Truth'!$D$5=""),"",IF(TEXT(N26,"0")=TEXT('Ground-Truth'!$D$5,"0"),1,0))</f>
        <v/>
      </c>
      <c r="T26" s="2" t="str">
        <f>IF(OR('Ground-Truth'!$C$6&lt;&gt;"Ja",'Ground-Truth'!$D$6=""),"",IF(TEXT(O26,"0")=TEXT('Ground-Truth'!$D$6,"0"),1,0))</f>
        <v/>
      </c>
      <c r="U26" s="2">
        <f t="shared" si="1"/>
        <v>2</v>
      </c>
      <c r="V26" s="2">
        <f t="shared" si="2"/>
        <v>3</v>
      </c>
      <c r="W26" s="2">
        <f t="shared" si="3"/>
        <v>66.666666666666657</v>
      </c>
      <c r="X26" s="4" t="str">
        <f t="shared" si="4"/>
        <v>gpt-4o-mini_C5_BatchFiltered</v>
      </c>
    </row>
    <row r="27" spans="1:24" ht="15" customHeight="1" x14ac:dyDescent="0.25">
      <c r="A27" s="3" t="s">
        <v>40</v>
      </c>
      <c r="B27" s="2" t="s">
        <v>41</v>
      </c>
      <c r="C27" s="2" t="s">
        <v>49</v>
      </c>
      <c r="D27" s="2">
        <v>1</v>
      </c>
      <c r="E27" s="2">
        <v>163.62</v>
      </c>
      <c r="F27" s="2">
        <v>5.3099999999999996E-3</v>
      </c>
      <c r="G27" s="2">
        <v>23013</v>
      </c>
      <c r="H27" s="2">
        <v>10399</v>
      </c>
      <c r="I27" s="2">
        <f t="shared" si="0"/>
        <v>33412</v>
      </c>
      <c r="J27" s="2">
        <v>1</v>
      </c>
      <c r="K27" s="2" t="s">
        <v>43</v>
      </c>
      <c r="L27" s="2" t="s">
        <v>10</v>
      </c>
      <c r="M27" s="2" t="s">
        <v>12</v>
      </c>
      <c r="N27" s="2" t="s">
        <v>15</v>
      </c>
      <c r="O27" s="2" t="s">
        <v>15</v>
      </c>
      <c r="P27" s="2">
        <f>IF(OR('Ground-Truth'!$C$2&lt;&gt;"Ja",'Ground-Truth'!$D$2=""),"",IF(TEXT(K27,"0")=TEXT('Ground-Truth'!$D$2,"0"),1,0))</f>
        <v>0</v>
      </c>
      <c r="Q27" s="2">
        <f>IF(OR('Ground-Truth'!$C$3&lt;&gt;"Ja",'Ground-Truth'!$D$3=""),"",IF(TEXT(L27,"0")=TEXT('Ground-Truth'!$D$3,"0"),1,0))</f>
        <v>1</v>
      </c>
      <c r="R27" s="2">
        <f>IF(OR('Ground-Truth'!$C$4&lt;&gt;"Ja",'Ground-Truth'!$D$4=""),"",IF(TEXT(M27,"0")=TEXT('Ground-Truth'!$D$4,"0"),1,0))</f>
        <v>1</v>
      </c>
      <c r="S27" s="2" t="str">
        <f>IF(OR('Ground-Truth'!$C$5&lt;&gt;"Ja",'Ground-Truth'!$D$5=""),"",IF(TEXT(N27,"0")=TEXT('Ground-Truth'!$D$5,"0"),1,0))</f>
        <v/>
      </c>
      <c r="T27" s="2" t="str">
        <f>IF(OR('Ground-Truth'!$C$6&lt;&gt;"Ja",'Ground-Truth'!$D$6=""),"",IF(TEXT(O27,"0")=TEXT('Ground-Truth'!$D$6,"0"),1,0))</f>
        <v/>
      </c>
      <c r="U27" s="2">
        <f t="shared" si="1"/>
        <v>2</v>
      </c>
      <c r="V27" s="2">
        <f t="shared" si="2"/>
        <v>3</v>
      </c>
      <c r="W27" s="2">
        <f t="shared" si="3"/>
        <v>66.666666666666657</v>
      </c>
      <c r="X27" s="4" t="str">
        <f t="shared" si="4"/>
        <v>gpt-5-nano_C1_Hybrid</v>
      </c>
    </row>
    <row r="28" spans="1:24" ht="15" customHeight="1" x14ac:dyDescent="0.25">
      <c r="A28" s="3" t="s">
        <v>40</v>
      </c>
      <c r="B28" s="2" t="s">
        <v>41</v>
      </c>
      <c r="C28" s="2" t="s">
        <v>49</v>
      </c>
      <c r="D28" s="2">
        <v>2</v>
      </c>
      <c r="E28" s="2">
        <v>268.7</v>
      </c>
      <c r="F28" s="2">
        <v>4.895E-3</v>
      </c>
      <c r="G28" s="2">
        <v>23013</v>
      </c>
      <c r="H28" s="2">
        <v>9360</v>
      </c>
      <c r="I28" s="2">
        <f t="shared" si="0"/>
        <v>32373</v>
      </c>
      <c r="J28" s="2">
        <v>1</v>
      </c>
      <c r="K28" s="2" t="s">
        <v>43</v>
      </c>
      <c r="L28" s="2" t="s">
        <v>10</v>
      </c>
      <c r="M28" s="2" t="s">
        <v>43</v>
      </c>
      <c r="N28" s="2" t="s">
        <v>15</v>
      </c>
      <c r="O28" s="2"/>
      <c r="P28" s="2">
        <f>IF(OR('Ground-Truth'!$C$2&lt;&gt;"Ja",'Ground-Truth'!$D$2=""),"",IF(TEXT(K28,"0")=TEXT('Ground-Truth'!$D$2,"0"),1,0))</f>
        <v>0</v>
      </c>
      <c r="Q28" s="2">
        <f>IF(OR('Ground-Truth'!$C$3&lt;&gt;"Ja",'Ground-Truth'!$D$3=""),"",IF(TEXT(L28,"0")=TEXT('Ground-Truth'!$D$3,"0"),1,0))</f>
        <v>1</v>
      </c>
      <c r="R28" s="2">
        <f>IF(OR('Ground-Truth'!$C$4&lt;&gt;"Ja",'Ground-Truth'!$D$4=""),"",IF(TEXT(M28,"0")=TEXT('Ground-Truth'!$D$4,"0"),1,0))</f>
        <v>0</v>
      </c>
      <c r="S28" s="2" t="str">
        <f>IF(OR('Ground-Truth'!$C$5&lt;&gt;"Ja",'Ground-Truth'!$D$5=""),"",IF(TEXT(N28,"0")=TEXT('Ground-Truth'!$D$5,"0"),1,0))</f>
        <v/>
      </c>
      <c r="T28" s="2" t="str">
        <f>IF(OR('Ground-Truth'!$C$6&lt;&gt;"Ja",'Ground-Truth'!$D$6=""),"",IF(TEXT(O28,"0")=TEXT('Ground-Truth'!$D$6,"0"),1,0))</f>
        <v/>
      </c>
      <c r="U28" s="2">
        <f t="shared" si="1"/>
        <v>1</v>
      </c>
      <c r="V28" s="2">
        <f t="shared" si="2"/>
        <v>3</v>
      </c>
      <c r="W28" s="2">
        <f t="shared" si="3"/>
        <v>33.333333333333329</v>
      </c>
      <c r="X28" s="4" t="str">
        <f t="shared" si="4"/>
        <v>gpt-5-nano_C1_Hybrid</v>
      </c>
    </row>
    <row r="29" spans="1:24" ht="15" customHeight="1" x14ac:dyDescent="0.25">
      <c r="A29" s="3" t="s">
        <v>40</v>
      </c>
      <c r="B29" s="2" t="s">
        <v>41</v>
      </c>
      <c r="C29" s="2" t="s">
        <v>49</v>
      </c>
      <c r="D29" s="2">
        <v>3</v>
      </c>
      <c r="E29" s="2">
        <v>100.73</v>
      </c>
      <c r="F29" s="2">
        <v>5.6550000000000003E-3</v>
      </c>
      <c r="G29" s="2">
        <v>23013</v>
      </c>
      <c r="H29" s="2">
        <v>11262</v>
      </c>
      <c r="I29" s="2">
        <f t="shared" si="0"/>
        <v>34275</v>
      </c>
      <c r="J29" s="2">
        <v>1</v>
      </c>
      <c r="K29" s="2" t="s">
        <v>43</v>
      </c>
      <c r="L29" s="2" t="s">
        <v>10</v>
      </c>
      <c r="M29" s="2" t="s">
        <v>12</v>
      </c>
      <c r="N29" s="2" t="s">
        <v>15</v>
      </c>
      <c r="O29" s="2" t="s">
        <v>15</v>
      </c>
      <c r="P29" s="2">
        <f>IF(OR('Ground-Truth'!$C$2&lt;&gt;"Ja",'Ground-Truth'!$D$2=""),"",IF(TEXT(K29,"0")=TEXT('Ground-Truth'!$D$2,"0"),1,0))</f>
        <v>0</v>
      </c>
      <c r="Q29" s="2">
        <f>IF(OR('Ground-Truth'!$C$3&lt;&gt;"Ja",'Ground-Truth'!$D$3=""),"",IF(TEXT(L29,"0")=TEXT('Ground-Truth'!$D$3,"0"),1,0))</f>
        <v>1</v>
      </c>
      <c r="R29" s="2">
        <f>IF(OR('Ground-Truth'!$C$4&lt;&gt;"Ja",'Ground-Truth'!$D$4=""),"",IF(TEXT(M29,"0")=TEXT('Ground-Truth'!$D$4,"0"),1,0))</f>
        <v>1</v>
      </c>
      <c r="S29" s="2" t="str">
        <f>IF(OR('Ground-Truth'!$C$5&lt;&gt;"Ja",'Ground-Truth'!$D$5=""),"",IF(TEXT(N29,"0")=TEXT('Ground-Truth'!$D$5,"0"),1,0))</f>
        <v/>
      </c>
      <c r="T29" s="2" t="str">
        <f>IF(OR('Ground-Truth'!$C$6&lt;&gt;"Ja",'Ground-Truth'!$D$6=""),"",IF(TEXT(O29,"0")=TEXT('Ground-Truth'!$D$6,"0"),1,0))</f>
        <v/>
      </c>
      <c r="U29" s="2">
        <f t="shared" si="1"/>
        <v>2</v>
      </c>
      <c r="V29" s="2">
        <f t="shared" si="2"/>
        <v>3</v>
      </c>
      <c r="W29" s="2">
        <f t="shared" si="3"/>
        <v>66.666666666666657</v>
      </c>
      <c r="X29" s="4" t="str">
        <f t="shared" si="4"/>
        <v>gpt-5-nano_C1_Hybrid</v>
      </c>
    </row>
    <row r="30" spans="1:24" ht="15" customHeight="1" x14ac:dyDescent="0.25">
      <c r="A30" s="3" t="s">
        <v>40</v>
      </c>
      <c r="B30" s="2" t="s">
        <v>41</v>
      </c>
      <c r="C30" s="2" t="s">
        <v>49</v>
      </c>
      <c r="D30" s="2">
        <v>4</v>
      </c>
      <c r="E30" s="2">
        <v>119.77</v>
      </c>
      <c r="F30" s="2">
        <v>6.0089999999999996E-3</v>
      </c>
      <c r="G30" s="2">
        <v>23013</v>
      </c>
      <c r="H30" s="2">
        <v>12146</v>
      </c>
      <c r="I30" s="2">
        <f t="shared" si="0"/>
        <v>35159</v>
      </c>
      <c r="J30" s="2">
        <v>1</v>
      </c>
      <c r="K30" s="2" t="s">
        <v>43</v>
      </c>
      <c r="L30" s="2" t="s">
        <v>10</v>
      </c>
      <c r="M30" s="2" t="s">
        <v>43</v>
      </c>
      <c r="N30" s="2" t="s">
        <v>50</v>
      </c>
      <c r="O30" s="2"/>
      <c r="P30" s="2">
        <f>IF(OR('Ground-Truth'!$C$2&lt;&gt;"Ja",'Ground-Truth'!$D$2=""),"",IF(TEXT(K30,"0")=TEXT('Ground-Truth'!$D$2,"0"),1,0))</f>
        <v>0</v>
      </c>
      <c r="Q30" s="2">
        <f>IF(OR('Ground-Truth'!$C$3&lt;&gt;"Ja",'Ground-Truth'!$D$3=""),"",IF(TEXT(L30,"0")=TEXT('Ground-Truth'!$D$3,"0"),1,0))</f>
        <v>1</v>
      </c>
      <c r="R30" s="2">
        <f>IF(OR('Ground-Truth'!$C$4&lt;&gt;"Ja",'Ground-Truth'!$D$4=""),"",IF(TEXT(M30,"0")=TEXT('Ground-Truth'!$D$4,"0"),1,0))</f>
        <v>0</v>
      </c>
      <c r="S30" s="2" t="str">
        <f>IF(OR('Ground-Truth'!$C$5&lt;&gt;"Ja",'Ground-Truth'!$D$5=""),"",IF(TEXT(N30,"0")=TEXT('Ground-Truth'!$D$5,"0"),1,0))</f>
        <v/>
      </c>
      <c r="T30" s="2" t="str">
        <f>IF(OR('Ground-Truth'!$C$6&lt;&gt;"Ja",'Ground-Truth'!$D$6=""),"",IF(TEXT(O30,"0")=TEXT('Ground-Truth'!$D$6,"0"),1,0))</f>
        <v/>
      </c>
      <c r="U30" s="2">
        <f t="shared" si="1"/>
        <v>1</v>
      </c>
      <c r="V30" s="2">
        <f t="shared" si="2"/>
        <v>3</v>
      </c>
      <c r="W30" s="2">
        <f t="shared" si="3"/>
        <v>33.333333333333329</v>
      </c>
      <c r="X30" s="4" t="str">
        <f t="shared" si="4"/>
        <v>gpt-5-nano_C1_Hybrid</v>
      </c>
    </row>
    <row r="31" spans="1:24" ht="15" customHeight="1" x14ac:dyDescent="0.25">
      <c r="A31" s="3" t="s">
        <v>40</v>
      </c>
      <c r="B31" s="2" t="s">
        <v>41</v>
      </c>
      <c r="C31" s="2" t="s">
        <v>49</v>
      </c>
      <c r="D31" s="2">
        <v>5</v>
      </c>
      <c r="E31" s="2">
        <v>86.36</v>
      </c>
      <c r="F31" s="2">
        <v>5.463E-3</v>
      </c>
      <c r="G31" s="2">
        <v>23013</v>
      </c>
      <c r="H31" s="2">
        <v>10781</v>
      </c>
      <c r="I31" s="2">
        <f t="shared" si="0"/>
        <v>33794</v>
      </c>
      <c r="J31" s="2">
        <v>1</v>
      </c>
      <c r="K31" s="2" t="s">
        <v>43</v>
      </c>
      <c r="L31" s="2" t="s">
        <v>10</v>
      </c>
      <c r="M31" s="2" t="s">
        <v>12</v>
      </c>
      <c r="N31" s="2" t="s">
        <v>43</v>
      </c>
      <c r="O31" s="2" t="s">
        <v>51</v>
      </c>
      <c r="P31" s="2">
        <f>IF(OR('Ground-Truth'!$C$2&lt;&gt;"Ja",'Ground-Truth'!$D$2=""),"",IF(TEXT(K31,"0")=TEXT('Ground-Truth'!$D$2,"0"),1,0))</f>
        <v>0</v>
      </c>
      <c r="Q31" s="2">
        <f>IF(OR('Ground-Truth'!$C$3&lt;&gt;"Ja",'Ground-Truth'!$D$3=""),"",IF(TEXT(L31,"0")=TEXT('Ground-Truth'!$D$3,"0"),1,0))</f>
        <v>1</v>
      </c>
      <c r="R31" s="2">
        <f>IF(OR('Ground-Truth'!$C$4&lt;&gt;"Ja",'Ground-Truth'!$D$4=""),"",IF(TEXT(M31,"0")=TEXT('Ground-Truth'!$D$4,"0"),1,0))</f>
        <v>1</v>
      </c>
      <c r="S31" s="2" t="str">
        <f>IF(OR('Ground-Truth'!$C$5&lt;&gt;"Ja",'Ground-Truth'!$D$5=""),"",IF(TEXT(N31,"0")=TEXT('Ground-Truth'!$D$5,"0"),1,0))</f>
        <v/>
      </c>
      <c r="T31" s="2" t="str">
        <f>IF(OR('Ground-Truth'!$C$6&lt;&gt;"Ja",'Ground-Truth'!$D$6=""),"",IF(TEXT(O31,"0")=TEXT('Ground-Truth'!$D$6,"0"),1,0))</f>
        <v/>
      </c>
      <c r="U31" s="2">
        <f t="shared" si="1"/>
        <v>2</v>
      </c>
      <c r="V31" s="2">
        <f t="shared" si="2"/>
        <v>3</v>
      </c>
      <c r="W31" s="2">
        <f t="shared" si="3"/>
        <v>66.666666666666657</v>
      </c>
      <c r="X31" s="4" t="str">
        <f t="shared" si="4"/>
        <v>gpt-5-nano_C1_Hybrid</v>
      </c>
    </row>
    <row r="32" spans="1:24" ht="15" customHeight="1" x14ac:dyDescent="0.25">
      <c r="A32" s="3" t="s">
        <v>40</v>
      </c>
      <c r="B32" s="2" t="s">
        <v>44</v>
      </c>
      <c r="C32" s="2" t="s">
        <v>49</v>
      </c>
      <c r="D32" s="2">
        <v>1</v>
      </c>
      <c r="E32" s="2">
        <v>209.41</v>
      </c>
      <c r="F32" s="2">
        <v>1.0517E-2</v>
      </c>
      <c r="G32" s="2">
        <v>6571</v>
      </c>
      <c r="H32" s="2">
        <v>25472</v>
      </c>
      <c r="I32" s="2">
        <f t="shared" si="0"/>
        <v>32043</v>
      </c>
      <c r="J32" s="2">
        <v>5</v>
      </c>
      <c r="K32" s="2" t="s">
        <v>43</v>
      </c>
      <c r="L32" s="2" t="s">
        <v>10</v>
      </c>
      <c r="M32" s="2" t="s">
        <v>12</v>
      </c>
      <c r="N32" s="2" t="s">
        <v>12</v>
      </c>
      <c r="O32" s="2" t="s">
        <v>15</v>
      </c>
      <c r="P32" s="2">
        <f>IF(OR('Ground-Truth'!$C$2&lt;&gt;"Ja",'Ground-Truth'!$D$2=""),"",IF(TEXT(K32,"0")=TEXT('Ground-Truth'!$D$2,"0"),1,0))</f>
        <v>0</v>
      </c>
      <c r="Q32" s="2">
        <f>IF(OR('Ground-Truth'!$C$3&lt;&gt;"Ja",'Ground-Truth'!$D$3=""),"",IF(TEXT(L32,"0")=TEXT('Ground-Truth'!$D$3,"0"),1,0))</f>
        <v>1</v>
      </c>
      <c r="R32" s="2">
        <f>IF(OR('Ground-Truth'!$C$4&lt;&gt;"Ja",'Ground-Truth'!$D$4=""),"",IF(TEXT(M32,"0")=TEXT('Ground-Truth'!$D$4,"0"),1,0))</f>
        <v>1</v>
      </c>
      <c r="S32" s="2" t="str">
        <f>IF(OR('Ground-Truth'!$C$5&lt;&gt;"Ja",'Ground-Truth'!$D$5=""),"",IF(TEXT(N32,"0")=TEXT('Ground-Truth'!$D$5,"0"),1,0))</f>
        <v/>
      </c>
      <c r="T32" s="2" t="str">
        <f>IF(OR('Ground-Truth'!$C$6&lt;&gt;"Ja",'Ground-Truth'!$D$6=""),"",IF(TEXT(O32,"0")=TEXT('Ground-Truth'!$D$6,"0"),1,0))</f>
        <v/>
      </c>
      <c r="U32" s="2">
        <f t="shared" si="1"/>
        <v>2</v>
      </c>
      <c r="V32" s="2">
        <f t="shared" si="2"/>
        <v>3</v>
      </c>
      <c r="W32" s="2">
        <f t="shared" si="3"/>
        <v>66.666666666666657</v>
      </c>
      <c r="X32" s="4" t="str">
        <f t="shared" si="4"/>
        <v>gpt-5-nano_C2_Precision</v>
      </c>
    </row>
    <row r="33" spans="1:24" ht="15" customHeight="1" x14ac:dyDescent="0.25">
      <c r="A33" s="3" t="s">
        <v>40</v>
      </c>
      <c r="B33" s="2" t="s">
        <v>44</v>
      </c>
      <c r="C33" s="2" t="s">
        <v>49</v>
      </c>
      <c r="D33" s="2">
        <v>2</v>
      </c>
      <c r="E33" s="2">
        <v>155.43</v>
      </c>
      <c r="F33" s="2">
        <v>8.3540000000000003E-3</v>
      </c>
      <c r="G33" s="2">
        <v>6571</v>
      </c>
      <c r="H33" s="2">
        <v>20064</v>
      </c>
      <c r="I33" s="2">
        <f t="shared" si="0"/>
        <v>26635</v>
      </c>
      <c r="J33" s="2">
        <v>5</v>
      </c>
      <c r="K33" s="2" t="s">
        <v>43</v>
      </c>
      <c r="L33" s="2" t="s">
        <v>10</v>
      </c>
      <c r="M33" s="2" t="s">
        <v>12</v>
      </c>
      <c r="N33" s="2" t="s">
        <v>12</v>
      </c>
      <c r="O33" s="2" t="s">
        <v>15</v>
      </c>
      <c r="P33" s="2">
        <f>IF(OR('Ground-Truth'!$C$2&lt;&gt;"Ja",'Ground-Truth'!$D$2=""),"",IF(TEXT(K33,"0")=TEXT('Ground-Truth'!$D$2,"0"),1,0))</f>
        <v>0</v>
      </c>
      <c r="Q33" s="2">
        <f>IF(OR('Ground-Truth'!$C$3&lt;&gt;"Ja",'Ground-Truth'!$D$3=""),"",IF(TEXT(L33,"0")=TEXT('Ground-Truth'!$D$3,"0"),1,0))</f>
        <v>1</v>
      </c>
      <c r="R33" s="2">
        <f>IF(OR('Ground-Truth'!$C$4&lt;&gt;"Ja",'Ground-Truth'!$D$4=""),"",IF(TEXT(M33,"0")=TEXT('Ground-Truth'!$D$4,"0"),1,0))</f>
        <v>1</v>
      </c>
      <c r="S33" s="2" t="str">
        <f>IF(OR('Ground-Truth'!$C$5&lt;&gt;"Ja",'Ground-Truth'!$D$5=""),"",IF(TEXT(N33,"0")=TEXT('Ground-Truth'!$D$5,"0"),1,0))</f>
        <v/>
      </c>
      <c r="T33" s="2" t="str">
        <f>IF(OR('Ground-Truth'!$C$6&lt;&gt;"Ja",'Ground-Truth'!$D$6=""),"",IF(TEXT(O33,"0")=TEXT('Ground-Truth'!$D$6,"0"),1,0))</f>
        <v/>
      </c>
      <c r="U33" s="2">
        <f t="shared" si="1"/>
        <v>2</v>
      </c>
      <c r="V33" s="2">
        <f t="shared" si="2"/>
        <v>3</v>
      </c>
      <c r="W33" s="2">
        <f t="shared" si="3"/>
        <v>66.666666666666657</v>
      </c>
      <c r="X33" s="4" t="str">
        <f t="shared" si="4"/>
        <v>gpt-5-nano_C2_Precision</v>
      </c>
    </row>
    <row r="34" spans="1:24" ht="15" customHeight="1" x14ac:dyDescent="0.25">
      <c r="A34" s="3" t="s">
        <v>40</v>
      </c>
      <c r="B34" s="2" t="s">
        <v>44</v>
      </c>
      <c r="C34" s="2" t="s">
        <v>49</v>
      </c>
      <c r="D34" s="2">
        <v>3</v>
      </c>
      <c r="E34" s="2">
        <v>150.68</v>
      </c>
      <c r="F34" s="2">
        <v>8.3070000000000001E-3</v>
      </c>
      <c r="G34" s="2">
        <v>6571</v>
      </c>
      <c r="H34" s="2">
        <v>19947</v>
      </c>
      <c r="I34" s="2">
        <f t="shared" ref="I34:I65" si="5">G34+H34</f>
        <v>26518</v>
      </c>
      <c r="J34" s="2">
        <v>5</v>
      </c>
      <c r="K34" s="2" t="s">
        <v>43</v>
      </c>
      <c r="L34" s="2" t="s">
        <v>10</v>
      </c>
      <c r="M34" s="2" t="s">
        <v>12</v>
      </c>
      <c r="N34" s="2" t="s">
        <v>12</v>
      </c>
      <c r="O34" s="2" t="s">
        <v>15</v>
      </c>
      <c r="P34" s="2">
        <f>IF(OR('Ground-Truth'!$C$2&lt;&gt;"Ja",'Ground-Truth'!$D$2=""),"",IF(TEXT(K34,"0")=TEXT('Ground-Truth'!$D$2,"0"),1,0))</f>
        <v>0</v>
      </c>
      <c r="Q34" s="2">
        <f>IF(OR('Ground-Truth'!$C$3&lt;&gt;"Ja",'Ground-Truth'!$D$3=""),"",IF(TEXT(L34,"0")=TEXT('Ground-Truth'!$D$3,"0"),1,0))</f>
        <v>1</v>
      </c>
      <c r="R34" s="2">
        <f>IF(OR('Ground-Truth'!$C$4&lt;&gt;"Ja",'Ground-Truth'!$D$4=""),"",IF(TEXT(M34,"0")=TEXT('Ground-Truth'!$D$4,"0"),1,0))</f>
        <v>1</v>
      </c>
      <c r="S34" s="2" t="str">
        <f>IF(OR('Ground-Truth'!$C$5&lt;&gt;"Ja",'Ground-Truth'!$D$5=""),"",IF(TEXT(N34,"0")=TEXT('Ground-Truth'!$D$5,"0"),1,0))</f>
        <v/>
      </c>
      <c r="T34" s="2" t="str">
        <f>IF(OR('Ground-Truth'!$C$6&lt;&gt;"Ja",'Ground-Truth'!$D$6=""),"",IF(TEXT(O34,"0")=TEXT('Ground-Truth'!$D$6,"0"),1,0))</f>
        <v/>
      </c>
      <c r="U34" s="2">
        <f t="shared" ref="U34:U65" si="6">SUM(P34:T34)</f>
        <v>2</v>
      </c>
      <c r="V34" s="2">
        <f t="shared" ref="V34:V65" si="7">COUNT(P34:T34)</f>
        <v>3</v>
      </c>
      <c r="W34" s="2">
        <f t="shared" ref="W34:W65" si="8">IF(V34=0,0,U34/V34*100)</f>
        <v>66.666666666666657</v>
      </c>
      <c r="X34" s="4" t="str">
        <f t="shared" ref="X34:X65" si="9">C34&amp;"_"&amp;B34</f>
        <v>gpt-5-nano_C2_Precision</v>
      </c>
    </row>
    <row r="35" spans="1:24" ht="15" customHeight="1" x14ac:dyDescent="0.25">
      <c r="A35" s="3" t="s">
        <v>40</v>
      </c>
      <c r="B35" s="2" t="s">
        <v>44</v>
      </c>
      <c r="C35" s="2" t="s">
        <v>49</v>
      </c>
      <c r="D35" s="2">
        <v>4</v>
      </c>
      <c r="E35" s="2">
        <v>206.35</v>
      </c>
      <c r="F35" s="2">
        <v>8.1530000000000005E-3</v>
      </c>
      <c r="G35" s="2">
        <v>6571</v>
      </c>
      <c r="H35" s="2">
        <v>19560</v>
      </c>
      <c r="I35" s="2">
        <f t="shared" si="5"/>
        <v>26131</v>
      </c>
      <c r="J35" s="2">
        <v>5</v>
      </c>
      <c r="K35" s="2" t="s">
        <v>43</v>
      </c>
      <c r="L35" s="2" t="s">
        <v>10</v>
      </c>
      <c r="M35" s="2" t="s">
        <v>12</v>
      </c>
      <c r="N35" s="2" t="s">
        <v>12</v>
      </c>
      <c r="O35" s="2" t="s">
        <v>15</v>
      </c>
      <c r="P35" s="2">
        <f>IF(OR('Ground-Truth'!$C$2&lt;&gt;"Ja",'Ground-Truth'!$D$2=""),"",IF(TEXT(K35,"0")=TEXT('Ground-Truth'!$D$2,"0"),1,0))</f>
        <v>0</v>
      </c>
      <c r="Q35" s="2">
        <f>IF(OR('Ground-Truth'!$C$3&lt;&gt;"Ja",'Ground-Truth'!$D$3=""),"",IF(TEXT(L35,"0")=TEXT('Ground-Truth'!$D$3,"0"),1,0))</f>
        <v>1</v>
      </c>
      <c r="R35" s="2">
        <f>IF(OR('Ground-Truth'!$C$4&lt;&gt;"Ja",'Ground-Truth'!$D$4=""),"",IF(TEXT(M35,"0")=TEXT('Ground-Truth'!$D$4,"0"),1,0))</f>
        <v>1</v>
      </c>
      <c r="S35" s="2" t="str">
        <f>IF(OR('Ground-Truth'!$C$5&lt;&gt;"Ja",'Ground-Truth'!$D$5=""),"",IF(TEXT(N35,"0")=TEXT('Ground-Truth'!$D$5,"0"),1,0))</f>
        <v/>
      </c>
      <c r="T35" s="2" t="str">
        <f>IF(OR('Ground-Truth'!$C$6&lt;&gt;"Ja",'Ground-Truth'!$D$6=""),"",IF(TEXT(O35,"0")=TEXT('Ground-Truth'!$D$6,"0"),1,0))</f>
        <v/>
      </c>
      <c r="U35" s="2">
        <f t="shared" si="6"/>
        <v>2</v>
      </c>
      <c r="V35" s="2">
        <f t="shared" si="7"/>
        <v>3</v>
      </c>
      <c r="W35" s="2">
        <f t="shared" si="8"/>
        <v>66.666666666666657</v>
      </c>
      <c r="X35" s="4" t="str">
        <f t="shared" si="9"/>
        <v>gpt-5-nano_C2_Precision</v>
      </c>
    </row>
    <row r="36" spans="1:24" ht="15" customHeight="1" x14ac:dyDescent="0.25">
      <c r="A36" s="3" t="s">
        <v>40</v>
      </c>
      <c r="B36" s="2" t="s">
        <v>44</v>
      </c>
      <c r="C36" s="2" t="s">
        <v>49</v>
      </c>
      <c r="D36" s="2">
        <v>5</v>
      </c>
      <c r="E36" s="2">
        <v>264.14999999999998</v>
      </c>
      <c r="F36" s="2">
        <v>8.0789999999999994E-3</v>
      </c>
      <c r="G36" s="2">
        <v>6571</v>
      </c>
      <c r="H36" s="2">
        <v>19376</v>
      </c>
      <c r="I36" s="2">
        <f t="shared" si="5"/>
        <v>25947</v>
      </c>
      <c r="J36" s="2">
        <v>5</v>
      </c>
      <c r="K36" s="2" t="s">
        <v>43</v>
      </c>
      <c r="L36" s="2" t="s">
        <v>10</v>
      </c>
      <c r="M36" s="2" t="s">
        <v>12</v>
      </c>
      <c r="N36" s="2" t="s">
        <v>12</v>
      </c>
      <c r="O36" s="2" t="s">
        <v>15</v>
      </c>
      <c r="P36" s="2">
        <f>IF(OR('Ground-Truth'!$C$2&lt;&gt;"Ja",'Ground-Truth'!$D$2=""),"",IF(TEXT(K36,"0")=TEXT('Ground-Truth'!$D$2,"0"),1,0))</f>
        <v>0</v>
      </c>
      <c r="Q36" s="2">
        <f>IF(OR('Ground-Truth'!$C$3&lt;&gt;"Ja",'Ground-Truth'!$D$3=""),"",IF(TEXT(L36,"0")=TEXT('Ground-Truth'!$D$3,"0"),1,0))</f>
        <v>1</v>
      </c>
      <c r="R36" s="2">
        <f>IF(OR('Ground-Truth'!$C$4&lt;&gt;"Ja",'Ground-Truth'!$D$4=""),"",IF(TEXT(M36,"0")=TEXT('Ground-Truth'!$D$4,"0"),1,0))</f>
        <v>1</v>
      </c>
      <c r="S36" s="2" t="str">
        <f>IF(OR('Ground-Truth'!$C$5&lt;&gt;"Ja",'Ground-Truth'!$D$5=""),"",IF(TEXT(N36,"0")=TEXT('Ground-Truth'!$D$5,"0"),1,0))</f>
        <v/>
      </c>
      <c r="T36" s="2" t="str">
        <f>IF(OR('Ground-Truth'!$C$6&lt;&gt;"Ja",'Ground-Truth'!$D$6=""),"",IF(TEXT(O36,"0")=TEXT('Ground-Truth'!$D$6,"0"),1,0))</f>
        <v/>
      </c>
      <c r="U36" s="2">
        <f t="shared" si="6"/>
        <v>2</v>
      </c>
      <c r="V36" s="2">
        <f t="shared" si="7"/>
        <v>3</v>
      </c>
      <c r="W36" s="2">
        <f t="shared" si="8"/>
        <v>66.666666666666657</v>
      </c>
      <c r="X36" s="4" t="str">
        <f t="shared" si="9"/>
        <v>gpt-5-nano_C2_Precision</v>
      </c>
    </row>
    <row r="37" spans="1:24" ht="15" customHeight="1" x14ac:dyDescent="0.25">
      <c r="A37" s="3" t="s">
        <v>40</v>
      </c>
      <c r="B37" s="2" t="s">
        <v>46</v>
      </c>
      <c r="C37" s="2" t="s">
        <v>49</v>
      </c>
      <c r="D37" s="2">
        <v>1</v>
      </c>
      <c r="E37" s="2">
        <v>302.29000000000002</v>
      </c>
      <c r="F37" s="2">
        <v>1.2678E-2</v>
      </c>
      <c r="G37" s="2">
        <v>112049</v>
      </c>
      <c r="H37" s="2">
        <v>17689</v>
      </c>
      <c r="I37" s="2">
        <f t="shared" si="5"/>
        <v>129738</v>
      </c>
      <c r="J37" s="2">
        <v>5</v>
      </c>
      <c r="K37" s="2" t="s">
        <v>43</v>
      </c>
      <c r="L37" s="2" t="s">
        <v>10</v>
      </c>
      <c r="M37" s="2" t="s">
        <v>12</v>
      </c>
      <c r="N37" s="2" t="s">
        <v>43</v>
      </c>
      <c r="O37" s="2" t="s">
        <v>51</v>
      </c>
      <c r="P37" s="2">
        <f>IF(OR('Ground-Truth'!$C$2&lt;&gt;"Ja",'Ground-Truth'!$D$2=""),"",IF(TEXT(K37,"0")=TEXT('Ground-Truth'!$D$2,"0"),1,0))</f>
        <v>0</v>
      </c>
      <c r="Q37" s="2">
        <f>IF(OR('Ground-Truth'!$C$3&lt;&gt;"Ja",'Ground-Truth'!$D$3=""),"",IF(TEXT(L37,"0")=TEXT('Ground-Truth'!$D$3,"0"),1,0))</f>
        <v>1</v>
      </c>
      <c r="R37" s="2">
        <f>IF(OR('Ground-Truth'!$C$4&lt;&gt;"Ja",'Ground-Truth'!$D$4=""),"",IF(TEXT(M37,"0")=TEXT('Ground-Truth'!$D$4,"0"),1,0))</f>
        <v>1</v>
      </c>
      <c r="S37" s="2" t="str">
        <f>IF(OR('Ground-Truth'!$C$5&lt;&gt;"Ja",'Ground-Truth'!$D$5=""),"",IF(TEXT(N37,"0")=TEXT('Ground-Truth'!$D$5,"0"),1,0))</f>
        <v/>
      </c>
      <c r="T37" s="2" t="str">
        <f>IF(OR('Ground-Truth'!$C$6&lt;&gt;"Ja",'Ground-Truth'!$D$6=""),"",IF(TEXT(O37,"0")=TEXT('Ground-Truth'!$D$6,"0"),1,0))</f>
        <v/>
      </c>
      <c r="U37" s="2">
        <f t="shared" si="6"/>
        <v>2</v>
      </c>
      <c r="V37" s="2">
        <f t="shared" si="7"/>
        <v>3</v>
      </c>
      <c r="W37" s="2">
        <f t="shared" si="8"/>
        <v>66.666666666666657</v>
      </c>
      <c r="X37" s="4" t="str">
        <f t="shared" si="9"/>
        <v>gpt-5-nano_C3_Single</v>
      </c>
    </row>
    <row r="38" spans="1:24" ht="15" customHeight="1" x14ac:dyDescent="0.25">
      <c r="A38" s="3" t="s">
        <v>40</v>
      </c>
      <c r="B38" s="2" t="s">
        <v>46</v>
      </c>
      <c r="C38" s="2" t="s">
        <v>49</v>
      </c>
      <c r="D38" s="2">
        <v>2</v>
      </c>
      <c r="E38" s="2">
        <v>213.4</v>
      </c>
      <c r="F38" s="2">
        <v>1.1835999999999999E-2</v>
      </c>
      <c r="G38" s="2">
        <v>112049</v>
      </c>
      <c r="H38" s="2">
        <v>15583</v>
      </c>
      <c r="I38" s="2">
        <f t="shared" si="5"/>
        <v>127632</v>
      </c>
      <c r="J38" s="2">
        <v>5</v>
      </c>
      <c r="K38" s="2" t="s">
        <v>43</v>
      </c>
      <c r="L38" s="2" t="s">
        <v>10</v>
      </c>
      <c r="M38" s="2" t="s">
        <v>12</v>
      </c>
      <c r="N38" s="2" t="s">
        <v>12</v>
      </c>
      <c r="O38" s="2" t="s">
        <v>51</v>
      </c>
      <c r="P38" s="2">
        <f>IF(OR('Ground-Truth'!$C$2&lt;&gt;"Ja",'Ground-Truth'!$D$2=""),"",IF(TEXT(K38,"0")=TEXT('Ground-Truth'!$D$2,"0"),1,0))</f>
        <v>0</v>
      </c>
      <c r="Q38" s="2">
        <f>IF(OR('Ground-Truth'!$C$3&lt;&gt;"Ja",'Ground-Truth'!$D$3=""),"",IF(TEXT(L38,"0")=TEXT('Ground-Truth'!$D$3,"0"),1,0))</f>
        <v>1</v>
      </c>
      <c r="R38" s="2">
        <f>IF(OR('Ground-Truth'!$C$4&lt;&gt;"Ja",'Ground-Truth'!$D$4=""),"",IF(TEXT(M38,"0")=TEXT('Ground-Truth'!$D$4,"0"),1,0))</f>
        <v>1</v>
      </c>
      <c r="S38" s="2" t="str">
        <f>IF(OR('Ground-Truth'!$C$5&lt;&gt;"Ja",'Ground-Truth'!$D$5=""),"",IF(TEXT(N38,"0")=TEXT('Ground-Truth'!$D$5,"0"),1,0))</f>
        <v/>
      </c>
      <c r="T38" s="2" t="str">
        <f>IF(OR('Ground-Truth'!$C$6&lt;&gt;"Ja",'Ground-Truth'!$D$6=""),"",IF(TEXT(O38,"0")=TEXT('Ground-Truth'!$D$6,"0"),1,0))</f>
        <v/>
      </c>
      <c r="U38" s="2">
        <f t="shared" si="6"/>
        <v>2</v>
      </c>
      <c r="V38" s="2">
        <f t="shared" si="7"/>
        <v>3</v>
      </c>
      <c r="W38" s="2">
        <f t="shared" si="8"/>
        <v>66.666666666666657</v>
      </c>
      <c r="X38" s="4" t="str">
        <f t="shared" si="9"/>
        <v>gpt-5-nano_C3_Single</v>
      </c>
    </row>
    <row r="39" spans="1:24" ht="15" customHeight="1" x14ac:dyDescent="0.25">
      <c r="A39" s="3" t="s">
        <v>40</v>
      </c>
      <c r="B39" s="2" t="s">
        <v>46</v>
      </c>
      <c r="C39" s="2" t="s">
        <v>49</v>
      </c>
      <c r="D39" s="2">
        <v>3</v>
      </c>
      <c r="E39" s="2">
        <v>240.42</v>
      </c>
      <c r="F39" s="2">
        <v>1.2881999999999999E-2</v>
      </c>
      <c r="G39" s="2">
        <v>112049</v>
      </c>
      <c r="H39" s="2">
        <v>18199</v>
      </c>
      <c r="I39" s="2">
        <f t="shared" si="5"/>
        <v>130248</v>
      </c>
      <c r="J39" s="2">
        <v>5</v>
      </c>
      <c r="K39" s="2" t="s">
        <v>43</v>
      </c>
      <c r="L39" s="2" t="s">
        <v>10</v>
      </c>
      <c r="M39" s="2" t="s">
        <v>12</v>
      </c>
      <c r="N39" s="2" t="s">
        <v>12</v>
      </c>
      <c r="O39" s="2" t="s">
        <v>15</v>
      </c>
      <c r="P39" s="2">
        <f>IF(OR('Ground-Truth'!$C$2&lt;&gt;"Ja",'Ground-Truth'!$D$2=""),"",IF(TEXT(K39,"0")=TEXT('Ground-Truth'!$D$2,"0"),1,0))</f>
        <v>0</v>
      </c>
      <c r="Q39" s="2">
        <f>IF(OR('Ground-Truth'!$C$3&lt;&gt;"Ja",'Ground-Truth'!$D$3=""),"",IF(TEXT(L39,"0")=TEXT('Ground-Truth'!$D$3,"0"),1,0))</f>
        <v>1</v>
      </c>
      <c r="R39" s="2">
        <f>IF(OR('Ground-Truth'!$C$4&lt;&gt;"Ja",'Ground-Truth'!$D$4=""),"",IF(TEXT(M39,"0")=TEXT('Ground-Truth'!$D$4,"0"),1,0))</f>
        <v>1</v>
      </c>
      <c r="S39" s="2" t="str">
        <f>IF(OR('Ground-Truth'!$C$5&lt;&gt;"Ja",'Ground-Truth'!$D$5=""),"",IF(TEXT(N39,"0")=TEXT('Ground-Truth'!$D$5,"0"),1,0))</f>
        <v/>
      </c>
      <c r="T39" s="2" t="str">
        <f>IF(OR('Ground-Truth'!$C$6&lt;&gt;"Ja",'Ground-Truth'!$D$6=""),"",IF(TEXT(O39,"0")=TEXT('Ground-Truth'!$D$6,"0"),1,0))</f>
        <v/>
      </c>
      <c r="U39" s="2">
        <f t="shared" si="6"/>
        <v>2</v>
      </c>
      <c r="V39" s="2">
        <f t="shared" si="7"/>
        <v>3</v>
      </c>
      <c r="W39" s="2">
        <f t="shared" si="8"/>
        <v>66.666666666666657</v>
      </c>
      <c r="X39" s="4" t="str">
        <f t="shared" si="9"/>
        <v>gpt-5-nano_C3_Single</v>
      </c>
    </row>
    <row r="40" spans="1:24" ht="15" customHeight="1" x14ac:dyDescent="0.25">
      <c r="A40" s="3" t="s">
        <v>40</v>
      </c>
      <c r="B40" s="2" t="s">
        <v>46</v>
      </c>
      <c r="C40" s="2" t="s">
        <v>49</v>
      </c>
      <c r="D40" s="2">
        <v>4</v>
      </c>
      <c r="E40" s="2">
        <v>186.76</v>
      </c>
      <c r="F40" s="2">
        <v>1.3539000000000001E-2</v>
      </c>
      <c r="G40" s="2">
        <v>112049</v>
      </c>
      <c r="H40" s="2">
        <v>19841</v>
      </c>
      <c r="I40" s="2">
        <f t="shared" si="5"/>
        <v>131890</v>
      </c>
      <c r="J40" s="2">
        <v>5</v>
      </c>
      <c r="K40" s="2" t="s">
        <v>43</v>
      </c>
      <c r="L40" s="2" t="s">
        <v>10</v>
      </c>
      <c r="M40" s="2" t="s">
        <v>43</v>
      </c>
      <c r="N40" s="2" t="s">
        <v>12</v>
      </c>
      <c r="O40" s="2" t="s">
        <v>51</v>
      </c>
      <c r="P40" s="2">
        <f>IF(OR('Ground-Truth'!$C$2&lt;&gt;"Ja",'Ground-Truth'!$D$2=""),"",IF(TEXT(K40,"0")=TEXT('Ground-Truth'!$D$2,"0"),1,0))</f>
        <v>0</v>
      </c>
      <c r="Q40" s="2">
        <f>IF(OR('Ground-Truth'!$C$3&lt;&gt;"Ja",'Ground-Truth'!$D$3=""),"",IF(TEXT(L40,"0")=TEXT('Ground-Truth'!$D$3,"0"),1,0))</f>
        <v>1</v>
      </c>
      <c r="R40" s="2">
        <f>IF(OR('Ground-Truth'!$C$4&lt;&gt;"Ja",'Ground-Truth'!$D$4=""),"",IF(TEXT(M40,"0")=TEXT('Ground-Truth'!$D$4,"0"),1,0))</f>
        <v>0</v>
      </c>
      <c r="S40" s="2" t="str">
        <f>IF(OR('Ground-Truth'!$C$5&lt;&gt;"Ja",'Ground-Truth'!$D$5=""),"",IF(TEXT(N40,"0")=TEXT('Ground-Truth'!$D$5,"0"),1,0))</f>
        <v/>
      </c>
      <c r="T40" s="2" t="str">
        <f>IF(OR('Ground-Truth'!$C$6&lt;&gt;"Ja",'Ground-Truth'!$D$6=""),"",IF(TEXT(O40,"0")=TEXT('Ground-Truth'!$D$6,"0"),1,0))</f>
        <v/>
      </c>
      <c r="U40" s="2">
        <f t="shared" si="6"/>
        <v>1</v>
      </c>
      <c r="V40" s="2">
        <f t="shared" si="7"/>
        <v>3</v>
      </c>
      <c r="W40" s="2">
        <f t="shared" si="8"/>
        <v>33.333333333333329</v>
      </c>
      <c r="X40" s="4" t="str">
        <f t="shared" si="9"/>
        <v>gpt-5-nano_C3_Single</v>
      </c>
    </row>
    <row r="41" spans="1:24" ht="15" customHeight="1" x14ac:dyDescent="0.25">
      <c r="A41" s="3" t="s">
        <v>40</v>
      </c>
      <c r="B41" s="2" t="s">
        <v>46</v>
      </c>
      <c r="C41" s="2" t="s">
        <v>49</v>
      </c>
      <c r="D41" s="2">
        <v>5</v>
      </c>
      <c r="E41" s="2">
        <v>190.1</v>
      </c>
      <c r="F41" s="2">
        <v>1.4075000000000001E-2</v>
      </c>
      <c r="G41" s="2">
        <v>112049</v>
      </c>
      <c r="H41" s="2">
        <v>21181</v>
      </c>
      <c r="I41" s="2">
        <f t="shared" si="5"/>
        <v>133230</v>
      </c>
      <c r="J41" s="2">
        <v>5</v>
      </c>
      <c r="K41" s="2" t="s">
        <v>43</v>
      </c>
      <c r="L41" s="2" t="s">
        <v>10</v>
      </c>
      <c r="M41" s="2" t="s">
        <v>12</v>
      </c>
      <c r="N41" s="2" t="s">
        <v>43</v>
      </c>
      <c r="O41" s="2" t="s">
        <v>51</v>
      </c>
      <c r="P41" s="2">
        <f>IF(OR('Ground-Truth'!$C$2&lt;&gt;"Ja",'Ground-Truth'!$D$2=""),"",IF(TEXT(K41,"0")=TEXT('Ground-Truth'!$D$2,"0"),1,0))</f>
        <v>0</v>
      </c>
      <c r="Q41" s="2">
        <f>IF(OR('Ground-Truth'!$C$3&lt;&gt;"Ja",'Ground-Truth'!$D$3=""),"",IF(TEXT(L41,"0")=TEXT('Ground-Truth'!$D$3,"0"),1,0))</f>
        <v>1</v>
      </c>
      <c r="R41" s="2">
        <f>IF(OR('Ground-Truth'!$C$4&lt;&gt;"Ja",'Ground-Truth'!$D$4=""),"",IF(TEXT(M41,"0")=TEXT('Ground-Truth'!$D$4,"0"),1,0))</f>
        <v>1</v>
      </c>
      <c r="S41" s="2" t="str">
        <f>IF(OR('Ground-Truth'!$C$5&lt;&gt;"Ja",'Ground-Truth'!$D$5=""),"",IF(TEXT(N41,"0")=TEXT('Ground-Truth'!$D$5,"0"),1,0))</f>
        <v/>
      </c>
      <c r="T41" s="2" t="str">
        <f>IF(OR('Ground-Truth'!$C$6&lt;&gt;"Ja",'Ground-Truth'!$D$6=""),"",IF(TEXT(O41,"0")=TEXT('Ground-Truth'!$D$6,"0"),1,0))</f>
        <v/>
      </c>
      <c r="U41" s="2">
        <f t="shared" si="6"/>
        <v>2</v>
      </c>
      <c r="V41" s="2">
        <f t="shared" si="7"/>
        <v>3</v>
      </c>
      <c r="W41" s="2">
        <f t="shared" si="8"/>
        <v>66.666666666666657</v>
      </c>
      <c r="X41" s="4" t="str">
        <f t="shared" si="9"/>
        <v>gpt-5-nano_C3_Single</v>
      </c>
    </row>
    <row r="42" spans="1:24" ht="15" customHeight="1" x14ac:dyDescent="0.25">
      <c r="A42" s="3" t="s">
        <v>40</v>
      </c>
      <c r="B42" s="2" t="s">
        <v>47</v>
      </c>
      <c r="C42" s="2" t="s">
        <v>49</v>
      </c>
      <c r="D42" s="2">
        <v>1</v>
      </c>
      <c r="E42" s="2">
        <v>117.03</v>
      </c>
      <c r="F42" s="2">
        <v>1.1821999999999999E-2</v>
      </c>
      <c r="G42" s="2">
        <v>112049</v>
      </c>
      <c r="H42" s="2">
        <v>15548</v>
      </c>
      <c r="I42" s="2">
        <f t="shared" si="5"/>
        <v>127597</v>
      </c>
      <c r="J42" s="2">
        <v>5</v>
      </c>
      <c r="K42" s="2" t="s">
        <v>8</v>
      </c>
      <c r="L42" s="2" t="s">
        <v>10</v>
      </c>
      <c r="M42" s="2" t="s">
        <v>12</v>
      </c>
      <c r="N42" s="2" t="s">
        <v>12</v>
      </c>
      <c r="O42" s="2" t="s">
        <v>51</v>
      </c>
      <c r="P42" s="2">
        <f>IF(OR('Ground-Truth'!$C$2&lt;&gt;"Ja",'Ground-Truth'!$D$2=""),"",IF(TEXT(K42,"0")=TEXT('Ground-Truth'!$D$2,"0"),1,0))</f>
        <v>1</v>
      </c>
      <c r="Q42" s="2">
        <f>IF(OR('Ground-Truth'!$C$3&lt;&gt;"Ja",'Ground-Truth'!$D$3=""),"",IF(TEXT(L42,"0")=TEXT('Ground-Truth'!$D$3,"0"),1,0))</f>
        <v>1</v>
      </c>
      <c r="R42" s="2">
        <f>IF(OR('Ground-Truth'!$C$4&lt;&gt;"Ja",'Ground-Truth'!$D$4=""),"",IF(TEXT(M42,"0")=TEXT('Ground-Truth'!$D$4,"0"),1,0))</f>
        <v>1</v>
      </c>
      <c r="S42" s="2" t="str">
        <f>IF(OR('Ground-Truth'!$C$5&lt;&gt;"Ja",'Ground-Truth'!$D$5=""),"",IF(TEXT(N42,"0")=TEXT('Ground-Truth'!$D$5,"0"),1,0))</f>
        <v/>
      </c>
      <c r="T42" s="2" t="str">
        <f>IF(OR('Ground-Truth'!$C$6&lt;&gt;"Ja",'Ground-Truth'!$D$6=""),"",IF(TEXT(O42,"0")=TEXT('Ground-Truth'!$D$6,"0"),1,0))</f>
        <v/>
      </c>
      <c r="U42" s="2">
        <f t="shared" si="6"/>
        <v>3</v>
      </c>
      <c r="V42" s="2">
        <f t="shared" si="7"/>
        <v>3</v>
      </c>
      <c r="W42" s="2">
        <f t="shared" si="8"/>
        <v>100</v>
      </c>
      <c r="X42" s="4" t="str">
        <f t="shared" si="9"/>
        <v>gpt-5-nano_C4_Baseline</v>
      </c>
    </row>
    <row r="43" spans="1:24" ht="15" customHeight="1" x14ac:dyDescent="0.25">
      <c r="A43" s="3" t="s">
        <v>40</v>
      </c>
      <c r="B43" s="2" t="s">
        <v>47</v>
      </c>
      <c r="C43" s="2" t="s">
        <v>49</v>
      </c>
      <c r="D43" s="2">
        <v>2</v>
      </c>
      <c r="E43" s="2">
        <v>171.26</v>
      </c>
      <c r="F43" s="2">
        <v>1.4657E-2</v>
      </c>
      <c r="G43" s="2">
        <v>112049</v>
      </c>
      <c r="H43" s="2">
        <v>22636</v>
      </c>
      <c r="I43" s="2">
        <f t="shared" si="5"/>
        <v>134685</v>
      </c>
      <c r="J43" s="2">
        <v>5</v>
      </c>
      <c r="K43" s="2" t="s">
        <v>8</v>
      </c>
      <c r="L43" s="2" t="s">
        <v>10</v>
      </c>
      <c r="M43" s="2" t="s">
        <v>12</v>
      </c>
      <c r="N43" s="2" t="s">
        <v>12</v>
      </c>
      <c r="O43" s="2" t="s">
        <v>51</v>
      </c>
      <c r="P43" s="2">
        <f>IF(OR('Ground-Truth'!$C$2&lt;&gt;"Ja",'Ground-Truth'!$D$2=""),"",IF(TEXT(K43,"0")=TEXT('Ground-Truth'!$D$2,"0"),1,0))</f>
        <v>1</v>
      </c>
      <c r="Q43" s="2">
        <f>IF(OR('Ground-Truth'!$C$3&lt;&gt;"Ja",'Ground-Truth'!$D$3=""),"",IF(TEXT(L43,"0")=TEXT('Ground-Truth'!$D$3,"0"),1,0))</f>
        <v>1</v>
      </c>
      <c r="R43" s="2">
        <f>IF(OR('Ground-Truth'!$C$4&lt;&gt;"Ja",'Ground-Truth'!$D$4=""),"",IF(TEXT(M43,"0")=TEXT('Ground-Truth'!$D$4,"0"),1,0))</f>
        <v>1</v>
      </c>
      <c r="S43" s="2" t="str">
        <f>IF(OR('Ground-Truth'!$C$5&lt;&gt;"Ja",'Ground-Truth'!$D$5=""),"",IF(TEXT(N43,"0")=TEXT('Ground-Truth'!$D$5,"0"),1,0))</f>
        <v/>
      </c>
      <c r="T43" s="2" t="str">
        <f>IF(OR('Ground-Truth'!$C$6&lt;&gt;"Ja",'Ground-Truth'!$D$6=""),"",IF(TEXT(O43,"0")=TEXT('Ground-Truth'!$D$6,"0"),1,0))</f>
        <v/>
      </c>
      <c r="U43" s="2">
        <f t="shared" si="6"/>
        <v>3</v>
      </c>
      <c r="V43" s="2">
        <f t="shared" si="7"/>
        <v>3</v>
      </c>
      <c r="W43" s="2">
        <f t="shared" si="8"/>
        <v>100</v>
      </c>
      <c r="X43" s="4" t="str">
        <f t="shared" si="9"/>
        <v>gpt-5-nano_C4_Baseline</v>
      </c>
    </row>
    <row r="44" spans="1:24" ht="15" customHeight="1" x14ac:dyDescent="0.25">
      <c r="A44" s="3" t="s">
        <v>40</v>
      </c>
      <c r="B44" s="2" t="s">
        <v>47</v>
      </c>
      <c r="C44" s="2" t="s">
        <v>49</v>
      </c>
      <c r="D44" s="2">
        <v>3</v>
      </c>
      <c r="E44" s="2">
        <v>117.28</v>
      </c>
      <c r="F44" s="2">
        <v>1.1821E-2</v>
      </c>
      <c r="G44" s="2">
        <v>112049</v>
      </c>
      <c r="H44" s="2">
        <v>15546</v>
      </c>
      <c r="I44" s="2">
        <f t="shared" si="5"/>
        <v>127595</v>
      </c>
      <c r="J44" s="2">
        <v>5</v>
      </c>
      <c r="K44" s="2" t="s">
        <v>8</v>
      </c>
      <c r="L44" s="2" t="s">
        <v>10</v>
      </c>
      <c r="M44" s="2" t="s">
        <v>12</v>
      </c>
      <c r="N44" s="2" t="s">
        <v>12</v>
      </c>
      <c r="O44" s="2" t="s">
        <v>51</v>
      </c>
      <c r="P44" s="2">
        <f>IF(OR('Ground-Truth'!$C$2&lt;&gt;"Ja",'Ground-Truth'!$D$2=""),"",IF(TEXT(K44,"0")=TEXT('Ground-Truth'!$D$2,"0"),1,0))</f>
        <v>1</v>
      </c>
      <c r="Q44" s="2">
        <f>IF(OR('Ground-Truth'!$C$3&lt;&gt;"Ja",'Ground-Truth'!$D$3=""),"",IF(TEXT(L44,"0")=TEXT('Ground-Truth'!$D$3,"0"),1,0))</f>
        <v>1</v>
      </c>
      <c r="R44" s="2">
        <f>IF(OR('Ground-Truth'!$C$4&lt;&gt;"Ja",'Ground-Truth'!$D$4=""),"",IF(TEXT(M44,"0")=TEXT('Ground-Truth'!$D$4,"0"),1,0))</f>
        <v>1</v>
      </c>
      <c r="S44" s="2" t="str">
        <f>IF(OR('Ground-Truth'!$C$5&lt;&gt;"Ja",'Ground-Truth'!$D$5=""),"",IF(TEXT(N44,"0")=TEXT('Ground-Truth'!$D$5,"0"),1,0))</f>
        <v/>
      </c>
      <c r="T44" s="2" t="str">
        <f>IF(OR('Ground-Truth'!$C$6&lt;&gt;"Ja",'Ground-Truth'!$D$6=""),"",IF(TEXT(O44,"0")=TEXT('Ground-Truth'!$D$6,"0"),1,0))</f>
        <v/>
      </c>
      <c r="U44" s="2">
        <f t="shared" si="6"/>
        <v>3</v>
      </c>
      <c r="V44" s="2">
        <f t="shared" si="7"/>
        <v>3</v>
      </c>
      <c r="W44" s="2">
        <f t="shared" si="8"/>
        <v>100</v>
      </c>
      <c r="X44" s="4" t="str">
        <f t="shared" si="9"/>
        <v>gpt-5-nano_C4_Baseline</v>
      </c>
    </row>
    <row r="45" spans="1:24" ht="15" customHeight="1" x14ac:dyDescent="0.25">
      <c r="A45" s="3" t="s">
        <v>40</v>
      </c>
      <c r="B45" s="2" t="s">
        <v>47</v>
      </c>
      <c r="C45" s="2" t="s">
        <v>49</v>
      </c>
      <c r="D45" s="2">
        <v>4</v>
      </c>
      <c r="E45" s="2">
        <v>127.48</v>
      </c>
      <c r="F45" s="2">
        <v>1.2478E-2</v>
      </c>
      <c r="G45" s="2">
        <v>112049</v>
      </c>
      <c r="H45" s="2">
        <v>17189</v>
      </c>
      <c r="I45" s="2">
        <f t="shared" si="5"/>
        <v>129238</v>
      </c>
      <c r="J45" s="2">
        <v>5</v>
      </c>
      <c r="K45" s="2" t="s">
        <v>8</v>
      </c>
      <c r="L45" s="2" t="s">
        <v>10</v>
      </c>
      <c r="M45" s="2" t="s">
        <v>12</v>
      </c>
      <c r="N45" s="2" t="s">
        <v>12</v>
      </c>
      <c r="O45" s="2" t="s">
        <v>15</v>
      </c>
      <c r="P45" s="2">
        <f>IF(OR('Ground-Truth'!$C$2&lt;&gt;"Ja",'Ground-Truth'!$D$2=""),"",IF(TEXT(K45,"0")=TEXT('Ground-Truth'!$D$2,"0"),1,0))</f>
        <v>1</v>
      </c>
      <c r="Q45" s="2">
        <f>IF(OR('Ground-Truth'!$C$3&lt;&gt;"Ja",'Ground-Truth'!$D$3=""),"",IF(TEXT(L45,"0")=TEXT('Ground-Truth'!$D$3,"0"),1,0))</f>
        <v>1</v>
      </c>
      <c r="R45" s="2">
        <f>IF(OR('Ground-Truth'!$C$4&lt;&gt;"Ja",'Ground-Truth'!$D$4=""),"",IF(TEXT(M45,"0")=TEXT('Ground-Truth'!$D$4,"0"),1,0))</f>
        <v>1</v>
      </c>
      <c r="S45" s="2" t="str">
        <f>IF(OR('Ground-Truth'!$C$5&lt;&gt;"Ja",'Ground-Truth'!$D$5=""),"",IF(TEXT(N45,"0")=TEXT('Ground-Truth'!$D$5,"0"),1,0))</f>
        <v/>
      </c>
      <c r="T45" s="2" t="str">
        <f>IF(OR('Ground-Truth'!$C$6&lt;&gt;"Ja",'Ground-Truth'!$D$6=""),"",IF(TEXT(O45,"0")=TEXT('Ground-Truth'!$D$6,"0"),1,0))</f>
        <v/>
      </c>
      <c r="U45" s="2">
        <f t="shared" si="6"/>
        <v>3</v>
      </c>
      <c r="V45" s="2">
        <f t="shared" si="7"/>
        <v>3</v>
      </c>
      <c r="W45" s="2">
        <f t="shared" si="8"/>
        <v>100</v>
      </c>
      <c r="X45" s="4" t="str">
        <f t="shared" si="9"/>
        <v>gpt-5-nano_C4_Baseline</v>
      </c>
    </row>
    <row r="46" spans="1:24" ht="15" customHeight="1" x14ac:dyDescent="0.25">
      <c r="A46" s="3" t="s">
        <v>40</v>
      </c>
      <c r="B46" s="2" t="s">
        <v>47</v>
      </c>
      <c r="C46" s="2" t="s">
        <v>49</v>
      </c>
      <c r="D46" s="2">
        <v>5</v>
      </c>
      <c r="E46" s="2">
        <v>245.26</v>
      </c>
      <c r="F46" s="2">
        <v>1.4692E-2</v>
      </c>
      <c r="G46" s="2">
        <v>112049</v>
      </c>
      <c r="H46" s="2">
        <v>22724</v>
      </c>
      <c r="I46" s="2">
        <f t="shared" si="5"/>
        <v>134773</v>
      </c>
      <c r="J46" s="2">
        <v>5</v>
      </c>
      <c r="K46" s="2" t="s">
        <v>8</v>
      </c>
      <c r="L46" s="2" t="s">
        <v>10</v>
      </c>
      <c r="M46" s="2" t="s">
        <v>12</v>
      </c>
      <c r="N46" s="2" t="s">
        <v>12</v>
      </c>
      <c r="O46" s="2" t="s">
        <v>51</v>
      </c>
      <c r="P46" s="2">
        <f>IF(OR('Ground-Truth'!$C$2&lt;&gt;"Ja",'Ground-Truth'!$D$2=""),"",IF(TEXT(K46,"0")=TEXT('Ground-Truth'!$D$2,"0"),1,0))</f>
        <v>1</v>
      </c>
      <c r="Q46" s="2">
        <f>IF(OR('Ground-Truth'!$C$3&lt;&gt;"Ja",'Ground-Truth'!$D$3=""),"",IF(TEXT(L46,"0")=TEXT('Ground-Truth'!$D$3,"0"),1,0))</f>
        <v>1</v>
      </c>
      <c r="R46" s="2">
        <f>IF(OR('Ground-Truth'!$C$4&lt;&gt;"Ja",'Ground-Truth'!$D$4=""),"",IF(TEXT(M46,"0")=TEXT('Ground-Truth'!$D$4,"0"),1,0))</f>
        <v>1</v>
      </c>
      <c r="S46" s="2" t="str">
        <f>IF(OR('Ground-Truth'!$C$5&lt;&gt;"Ja",'Ground-Truth'!$D$5=""),"",IF(TEXT(N46,"0")=TEXT('Ground-Truth'!$D$5,"0"),1,0))</f>
        <v/>
      </c>
      <c r="T46" s="2" t="str">
        <f>IF(OR('Ground-Truth'!$C$6&lt;&gt;"Ja",'Ground-Truth'!$D$6=""),"",IF(TEXT(O46,"0")=TEXT('Ground-Truth'!$D$6,"0"),1,0))</f>
        <v/>
      </c>
      <c r="U46" s="2">
        <f t="shared" si="6"/>
        <v>3</v>
      </c>
      <c r="V46" s="2">
        <f t="shared" si="7"/>
        <v>3</v>
      </c>
      <c r="W46" s="2">
        <f t="shared" si="8"/>
        <v>100</v>
      </c>
      <c r="X46" s="4" t="str">
        <f t="shared" si="9"/>
        <v>gpt-5-nano_C4_Baseline</v>
      </c>
    </row>
    <row r="47" spans="1:24" ht="15" customHeight="1" x14ac:dyDescent="0.25">
      <c r="A47" s="3" t="s">
        <v>40</v>
      </c>
      <c r="B47" s="2" t="s">
        <v>48</v>
      </c>
      <c r="C47" s="2" t="s">
        <v>49</v>
      </c>
      <c r="D47" s="2">
        <v>1</v>
      </c>
      <c r="E47" s="2">
        <v>133.05000000000001</v>
      </c>
      <c r="F47" s="2">
        <v>4.9290000000000002E-3</v>
      </c>
      <c r="G47" s="2">
        <v>4418</v>
      </c>
      <c r="H47" s="2">
        <v>11769</v>
      </c>
      <c r="I47" s="2">
        <f t="shared" si="5"/>
        <v>16187</v>
      </c>
      <c r="J47" s="2">
        <v>1</v>
      </c>
      <c r="K47" s="2" t="s">
        <v>43</v>
      </c>
      <c r="L47" s="2" t="s">
        <v>10</v>
      </c>
      <c r="M47" s="2" t="s">
        <v>43</v>
      </c>
      <c r="N47" s="2" t="s">
        <v>43</v>
      </c>
      <c r="O47" s="2" t="s">
        <v>51</v>
      </c>
      <c r="P47" s="2">
        <f>IF(OR('Ground-Truth'!$C$2&lt;&gt;"Ja",'Ground-Truth'!$D$2=""),"",IF(TEXT(K47,"0")=TEXT('Ground-Truth'!$D$2,"0"),1,0))</f>
        <v>0</v>
      </c>
      <c r="Q47" s="2">
        <f>IF(OR('Ground-Truth'!$C$3&lt;&gt;"Ja",'Ground-Truth'!$D$3=""),"",IF(TEXT(L47,"0")=TEXT('Ground-Truth'!$D$3,"0"),1,0))</f>
        <v>1</v>
      </c>
      <c r="R47" s="2">
        <f>IF(OR('Ground-Truth'!$C$4&lt;&gt;"Ja",'Ground-Truth'!$D$4=""),"",IF(TEXT(M47,"0")=TEXT('Ground-Truth'!$D$4,"0"),1,0))</f>
        <v>0</v>
      </c>
      <c r="S47" s="2" t="str">
        <f>IF(OR('Ground-Truth'!$C$5&lt;&gt;"Ja",'Ground-Truth'!$D$5=""),"",IF(TEXT(N47,"0")=TEXT('Ground-Truth'!$D$5,"0"),1,0))</f>
        <v/>
      </c>
      <c r="T47" s="2" t="str">
        <f>IF(OR('Ground-Truth'!$C$6&lt;&gt;"Ja",'Ground-Truth'!$D$6=""),"",IF(TEXT(O47,"0")=TEXT('Ground-Truth'!$D$6,"0"),1,0))</f>
        <v/>
      </c>
      <c r="U47" s="2">
        <f t="shared" si="6"/>
        <v>1</v>
      </c>
      <c r="V47" s="2">
        <f t="shared" si="7"/>
        <v>3</v>
      </c>
      <c r="W47" s="2">
        <f t="shared" si="8"/>
        <v>33.333333333333329</v>
      </c>
      <c r="X47" s="4" t="str">
        <f t="shared" si="9"/>
        <v>gpt-5-nano_C5_BatchFiltered</v>
      </c>
    </row>
    <row r="48" spans="1:24" ht="15" customHeight="1" x14ac:dyDescent="0.25">
      <c r="A48" s="3" t="s">
        <v>40</v>
      </c>
      <c r="B48" s="2" t="s">
        <v>48</v>
      </c>
      <c r="C48" s="2" t="s">
        <v>49</v>
      </c>
      <c r="D48" s="2">
        <v>2</v>
      </c>
      <c r="E48" s="2">
        <v>148.78</v>
      </c>
      <c r="F48" s="2">
        <v>5.7609999999999996E-3</v>
      </c>
      <c r="G48" s="2">
        <v>4418</v>
      </c>
      <c r="H48" s="2">
        <v>13851</v>
      </c>
      <c r="I48" s="2">
        <f t="shared" si="5"/>
        <v>18269</v>
      </c>
      <c r="J48" s="2">
        <v>1</v>
      </c>
      <c r="K48" s="2" t="s">
        <v>43</v>
      </c>
      <c r="L48" s="2" t="s">
        <v>10</v>
      </c>
      <c r="M48" s="2" t="s">
        <v>12</v>
      </c>
      <c r="N48" s="2" t="s">
        <v>15</v>
      </c>
      <c r="O48" s="2" t="s">
        <v>51</v>
      </c>
      <c r="P48" s="2">
        <f>IF(OR('Ground-Truth'!$C$2&lt;&gt;"Ja",'Ground-Truth'!$D$2=""),"",IF(TEXT(K48,"0")=TEXT('Ground-Truth'!$D$2,"0"),1,0))</f>
        <v>0</v>
      </c>
      <c r="Q48" s="2">
        <f>IF(OR('Ground-Truth'!$C$3&lt;&gt;"Ja",'Ground-Truth'!$D$3=""),"",IF(TEXT(L48,"0")=TEXT('Ground-Truth'!$D$3,"0"),1,0))</f>
        <v>1</v>
      </c>
      <c r="R48" s="2">
        <f>IF(OR('Ground-Truth'!$C$4&lt;&gt;"Ja",'Ground-Truth'!$D$4=""),"",IF(TEXT(M48,"0")=TEXT('Ground-Truth'!$D$4,"0"),1,0))</f>
        <v>1</v>
      </c>
      <c r="S48" s="2" t="str">
        <f>IF(OR('Ground-Truth'!$C$5&lt;&gt;"Ja",'Ground-Truth'!$D$5=""),"",IF(TEXT(N48,"0")=TEXT('Ground-Truth'!$D$5,"0"),1,0))</f>
        <v/>
      </c>
      <c r="T48" s="2" t="str">
        <f>IF(OR('Ground-Truth'!$C$6&lt;&gt;"Ja",'Ground-Truth'!$D$6=""),"",IF(TEXT(O48,"0")=TEXT('Ground-Truth'!$D$6,"0"),1,0))</f>
        <v/>
      </c>
      <c r="U48" s="2">
        <f t="shared" si="6"/>
        <v>2</v>
      </c>
      <c r="V48" s="2">
        <f t="shared" si="7"/>
        <v>3</v>
      </c>
      <c r="W48" s="2">
        <f t="shared" si="8"/>
        <v>66.666666666666657</v>
      </c>
      <c r="X48" s="4" t="str">
        <f t="shared" si="9"/>
        <v>gpt-5-nano_C5_BatchFiltered</v>
      </c>
    </row>
    <row r="49" spans="1:24" ht="15" customHeight="1" x14ac:dyDescent="0.25">
      <c r="A49" s="3" t="s">
        <v>40</v>
      </c>
      <c r="B49" s="2" t="s">
        <v>48</v>
      </c>
      <c r="C49" s="2" t="s">
        <v>49</v>
      </c>
      <c r="D49" s="2">
        <v>3</v>
      </c>
      <c r="E49" s="2">
        <v>68.209999999999994</v>
      </c>
      <c r="F49" s="2">
        <v>2.8860000000000001E-3</v>
      </c>
      <c r="G49" s="2">
        <v>4418</v>
      </c>
      <c r="H49" s="2">
        <v>6663</v>
      </c>
      <c r="I49" s="2">
        <f t="shared" si="5"/>
        <v>11081</v>
      </c>
      <c r="J49" s="2">
        <v>1</v>
      </c>
      <c r="K49" s="2" t="s">
        <v>43</v>
      </c>
      <c r="L49" s="2" t="s">
        <v>10</v>
      </c>
      <c r="M49" s="2" t="s">
        <v>12</v>
      </c>
      <c r="N49" s="2" t="s">
        <v>12</v>
      </c>
      <c r="O49" s="2" t="s">
        <v>15</v>
      </c>
      <c r="P49" s="2">
        <f>IF(OR('Ground-Truth'!$C$2&lt;&gt;"Ja",'Ground-Truth'!$D$2=""),"",IF(TEXT(K49,"0")=TEXT('Ground-Truth'!$D$2,"0"),1,0))</f>
        <v>0</v>
      </c>
      <c r="Q49" s="2">
        <f>IF(OR('Ground-Truth'!$C$3&lt;&gt;"Ja",'Ground-Truth'!$D$3=""),"",IF(TEXT(L49,"0")=TEXT('Ground-Truth'!$D$3,"0"),1,0))</f>
        <v>1</v>
      </c>
      <c r="R49" s="2">
        <f>IF(OR('Ground-Truth'!$C$4&lt;&gt;"Ja",'Ground-Truth'!$D$4=""),"",IF(TEXT(M49,"0")=TEXT('Ground-Truth'!$D$4,"0"),1,0))</f>
        <v>1</v>
      </c>
      <c r="S49" s="2" t="str">
        <f>IF(OR('Ground-Truth'!$C$5&lt;&gt;"Ja",'Ground-Truth'!$D$5=""),"",IF(TEXT(N49,"0")=TEXT('Ground-Truth'!$D$5,"0"),1,0))</f>
        <v/>
      </c>
      <c r="T49" s="2" t="str">
        <f>IF(OR('Ground-Truth'!$C$6&lt;&gt;"Ja",'Ground-Truth'!$D$6=""),"",IF(TEXT(O49,"0")=TEXT('Ground-Truth'!$D$6,"0"),1,0))</f>
        <v/>
      </c>
      <c r="U49" s="2">
        <f t="shared" si="6"/>
        <v>2</v>
      </c>
      <c r="V49" s="2">
        <f t="shared" si="7"/>
        <v>3</v>
      </c>
      <c r="W49" s="2">
        <f t="shared" si="8"/>
        <v>66.666666666666657</v>
      </c>
      <c r="X49" s="4" t="str">
        <f t="shared" si="9"/>
        <v>gpt-5-nano_C5_BatchFiltered</v>
      </c>
    </row>
    <row r="50" spans="1:24" ht="15" customHeight="1" x14ac:dyDescent="0.25">
      <c r="A50" s="3" t="s">
        <v>40</v>
      </c>
      <c r="B50" s="2" t="s">
        <v>48</v>
      </c>
      <c r="C50" s="2" t="s">
        <v>49</v>
      </c>
      <c r="D50" s="2">
        <v>4</v>
      </c>
      <c r="E50" s="2">
        <v>153.31</v>
      </c>
      <c r="F50" s="2">
        <v>6.4289999999999998E-3</v>
      </c>
      <c r="G50" s="2">
        <v>4418</v>
      </c>
      <c r="H50" s="2">
        <v>15520</v>
      </c>
      <c r="I50" s="2">
        <f t="shared" si="5"/>
        <v>19938</v>
      </c>
      <c r="J50" s="2">
        <v>1</v>
      </c>
      <c r="K50" s="2" t="s">
        <v>43</v>
      </c>
      <c r="L50" s="2" t="s">
        <v>10</v>
      </c>
      <c r="M50" s="2" t="s">
        <v>12</v>
      </c>
      <c r="N50" s="2" t="s">
        <v>12</v>
      </c>
      <c r="O50" s="2" t="s">
        <v>51</v>
      </c>
      <c r="P50" s="2">
        <f>IF(OR('Ground-Truth'!$C$2&lt;&gt;"Ja",'Ground-Truth'!$D$2=""),"",IF(TEXT(K50,"0")=TEXT('Ground-Truth'!$D$2,"0"),1,0))</f>
        <v>0</v>
      </c>
      <c r="Q50" s="2">
        <f>IF(OR('Ground-Truth'!$C$3&lt;&gt;"Ja",'Ground-Truth'!$D$3=""),"",IF(TEXT(L50,"0")=TEXT('Ground-Truth'!$D$3,"0"),1,0))</f>
        <v>1</v>
      </c>
      <c r="R50" s="2">
        <f>IF(OR('Ground-Truth'!$C$4&lt;&gt;"Ja",'Ground-Truth'!$D$4=""),"",IF(TEXT(M50,"0")=TEXT('Ground-Truth'!$D$4,"0"),1,0))</f>
        <v>1</v>
      </c>
      <c r="S50" s="2" t="str">
        <f>IF(OR('Ground-Truth'!$C$5&lt;&gt;"Ja",'Ground-Truth'!$D$5=""),"",IF(TEXT(N50,"0")=TEXT('Ground-Truth'!$D$5,"0"),1,0))</f>
        <v/>
      </c>
      <c r="T50" s="2" t="str">
        <f>IF(OR('Ground-Truth'!$C$6&lt;&gt;"Ja",'Ground-Truth'!$D$6=""),"",IF(TEXT(O50,"0")=TEXT('Ground-Truth'!$D$6,"0"),1,0))</f>
        <v/>
      </c>
      <c r="U50" s="2">
        <f t="shared" si="6"/>
        <v>2</v>
      </c>
      <c r="V50" s="2">
        <f t="shared" si="7"/>
        <v>3</v>
      </c>
      <c r="W50" s="2">
        <f t="shared" si="8"/>
        <v>66.666666666666657</v>
      </c>
      <c r="X50" s="4" t="str">
        <f t="shared" si="9"/>
        <v>gpt-5-nano_C5_BatchFiltered</v>
      </c>
    </row>
    <row r="51" spans="1:24" ht="15" customHeight="1" x14ac:dyDescent="0.25">
      <c r="A51" s="3" t="s">
        <v>40</v>
      </c>
      <c r="B51" s="2" t="s">
        <v>48</v>
      </c>
      <c r="C51" s="2" t="s">
        <v>49</v>
      </c>
      <c r="D51" s="2">
        <v>5</v>
      </c>
      <c r="E51" s="2">
        <v>119.98</v>
      </c>
      <c r="F51" s="2">
        <v>4.2989999999999999E-3</v>
      </c>
      <c r="G51" s="2">
        <v>4418</v>
      </c>
      <c r="H51" s="2">
        <v>10196</v>
      </c>
      <c r="I51" s="2">
        <f t="shared" si="5"/>
        <v>14614</v>
      </c>
      <c r="J51" s="2">
        <v>1</v>
      </c>
      <c r="K51" s="2" t="s">
        <v>8</v>
      </c>
      <c r="L51" s="2" t="s">
        <v>10</v>
      </c>
      <c r="M51" s="2" t="s">
        <v>12</v>
      </c>
      <c r="N51" s="2" t="s">
        <v>43</v>
      </c>
      <c r="O51" s="2" t="s">
        <v>15</v>
      </c>
      <c r="P51" s="2">
        <f>IF(OR('Ground-Truth'!$C$2&lt;&gt;"Ja",'Ground-Truth'!$D$2=""),"",IF(TEXT(K51,"0")=TEXT('Ground-Truth'!$D$2,"0"),1,0))</f>
        <v>1</v>
      </c>
      <c r="Q51" s="2">
        <f>IF(OR('Ground-Truth'!$C$3&lt;&gt;"Ja",'Ground-Truth'!$D$3=""),"",IF(TEXT(L51,"0")=TEXT('Ground-Truth'!$D$3,"0"),1,0))</f>
        <v>1</v>
      </c>
      <c r="R51" s="2">
        <f>IF(OR('Ground-Truth'!$C$4&lt;&gt;"Ja",'Ground-Truth'!$D$4=""),"",IF(TEXT(M51,"0")=TEXT('Ground-Truth'!$D$4,"0"),1,0))</f>
        <v>1</v>
      </c>
      <c r="S51" s="2" t="str">
        <f>IF(OR('Ground-Truth'!$C$5&lt;&gt;"Ja",'Ground-Truth'!$D$5=""),"",IF(TEXT(N51,"0")=TEXT('Ground-Truth'!$D$5,"0"),1,0))</f>
        <v/>
      </c>
      <c r="T51" s="2" t="str">
        <f>IF(OR('Ground-Truth'!$C$6&lt;&gt;"Ja",'Ground-Truth'!$D$6=""),"",IF(TEXT(O51,"0")=TEXT('Ground-Truth'!$D$6,"0"),1,0))</f>
        <v/>
      </c>
      <c r="U51" s="2">
        <f t="shared" si="6"/>
        <v>3</v>
      </c>
      <c r="V51" s="2">
        <f t="shared" si="7"/>
        <v>3</v>
      </c>
      <c r="W51" s="2">
        <f t="shared" si="8"/>
        <v>100</v>
      </c>
      <c r="X51" s="4" t="str">
        <f t="shared" si="9"/>
        <v>gpt-5-nano_C5_BatchFiltered</v>
      </c>
    </row>
    <row r="52" spans="1:24" ht="15" customHeight="1" x14ac:dyDescent="0.25">
      <c r="A52" s="3" t="s">
        <v>40</v>
      </c>
      <c r="B52" s="2" t="s">
        <v>41</v>
      </c>
      <c r="C52" s="2" t="s">
        <v>52</v>
      </c>
      <c r="D52" s="2">
        <v>1</v>
      </c>
      <c r="E52" s="2">
        <v>12.87</v>
      </c>
      <c r="F52" s="2">
        <v>4.5477999999999998E-2</v>
      </c>
      <c r="G52" s="2">
        <v>23014</v>
      </c>
      <c r="H52" s="2">
        <v>1671</v>
      </c>
      <c r="I52" s="2">
        <f t="shared" si="5"/>
        <v>24685</v>
      </c>
      <c r="J52" s="2">
        <v>1</v>
      </c>
      <c r="K52" s="2" t="s">
        <v>43</v>
      </c>
      <c r="L52" s="2" t="s">
        <v>10</v>
      </c>
      <c r="M52" s="2" t="s">
        <v>12</v>
      </c>
      <c r="N52" s="2" t="s">
        <v>12</v>
      </c>
      <c r="O52" s="2" t="s">
        <v>15</v>
      </c>
      <c r="P52" s="2">
        <f>IF(OR('Ground-Truth'!$C$2&lt;&gt;"Ja",'Ground-Truth'!$D$2=""),"",IF(TEXT(K52,"0")=TEXT('Ground-Truth'!$D$2,"0"),1,0))</f>
        <v>0</v>
      </c>
      <c r="Q52" s="2">
        <f>IF(OR('Ground-Truth'!$C$3&lt;&gt;"Ja",'Ground-Truth'!$D$3=""),"",IF(TEXT(L52,"0")=TEXT('Ground-Truth'!$D$3,"0"),1,0))</f>
        <v>1</v>
      </c>
      <c r="R52" s="2">
        <f>IF(OR('Ground-Truth'!$C$4&lt;&gt;"Ja",'Ground-Truth'!$D$4=""),"",IF(TEXT(M52,"0")=TEXT('Ground-Truth'!$D$4,"0"),1,0))</f>
        <v>1</v>
      </c>
      <c r="S52" s="2" t="str">
        <f>IF(OR('Ground-Truth'!$C$5&lt;&gt;"Ja",'Ground-Truth'!$D$5=""),"",IF(TEXT(N52,"0")=TEXT('Ground-Truth'!$D$5,"0"),1,0))</f>
        <v/>
      </c>
      <c r="T52" s="2" t="str">
        <f>IF(OR('Ground-Truth'!$C$6&lt;&gt;"Ja",'Ground-Truth'!$D$6=""),"",IF(TEXT(O52,"0")=TEXT('Ground-Truth'!$D$6,"0"),1,0))</f>
        <v/>
      </c>
      <c r="U52" s="2">
        <f t="shared" si="6"/>
        <v>2</v>
      </c>
      <c r="V52" s="2">
        <f t="shared" si="7"/>
        <v>3</v>
      </c>
      <c r="W52" s="2">
        <f t="shared" si="8"/>
        <v>66.666666666666657</v>
      </c>
      <c r="X52" s="4" t="str">
        <f t="shared" si="9"/>
        <v>gpt-5-chat_C1_Hybrid</v>
      </c>
    </row>
    <row r="53" spans="1:24" ht="15" customHeight="1" x14ac:dyDescent="0.25">
      <c r="A53" s="3" t="s">
        <v>40</v>
      </c>
      <c r="B53" s="2" t="s">
        <v>41</v>
      </c>
      <c r="C53" s="2" t="s">
        <v>52</v>
      </c>
      <c r="D53" s="2">
        <v>2</v>
      </c>
      <c r="E53" s="2">
        <v>14.05</v>
      </c>
      <c r="F53" s="2">
        <v>4.5867999999999999E-2</v>
      </c>
      <c r="G53" s="2">
        <v>23014</v>
      </c>
      <c r="H53" s="2">
        <v>1710</v>
      </c>
      <c r="I53" s="2">
        <f t="shared" si="5"/>
        <v>24724</v>
      </c>
      <c r="J53" s="2">
        <v>1</v>
      </c>
      <c r="K53" s="2" t="s">
        <v>43</v>
      </c>
      <c r="L53" s="2" t="s">
        <v>10</v>
      </c>
      <c r="M53" s="2" t="s">
        <v>12</v>
      </c>
      <c r="N53" s="2" t="s">
        <v>12</v>
      </c>
      <c r="O53" s="2" t="s">
        <v>15</v>
      </c>
      <c r="P53" s="2">
        <f>IF(OR('Ground-Truth'!$C$2&lt;&gt;"Ja",'Ground-Truth'!$D$2=""),"",IF(TEXT(K53,"0")=TEXT('Ground-Truth'!$D$2,"0"),1,0))</f>
        <v>0</v>
      </c>
      <c r="Q53" s="2">
        <f>IF(OR('Ground-Truth'!$C$3&lt;&gt;"Ja",'Ground-Truth'!$D$3=""),"",IF(TEXT(L53,"0")=TEXT('Ground-Truth'!$D$3,"0"),1,0))</f>
        <v>1</v>
      </c>
      <c r="R53" s="2">
        <f>IF(OR('Ground-Truth'!$C$4&lt;&gt;"Ja",'Ground-Truth'!$D$4=""),"",IF(TEXT(M53,"0")=TEXT('Ground-Truth'!$D$4,"0"),1,0))</f>
        <v>1</v>
      </c>
      <c r="S53" s="2" t="str">
        <f>IF(OR('Ground-Truth'!$C$5&lt;&gt;"Ja",'Ground-Truth'!$D$5=""),"",IF(TEXT(N53,"0")=TEXT('Ground-Truth'!$D$5,"0"),1,0))</f>
        <v/>
      </c>
      <c r="T53" s="2" t="str">
        <f>IF(OR('Ground-Truth'!$C$6&lt;&gt;"Ja",'Ground-Truth'!$D$6=""),"",IF(TEXT(O53,"0")=TEXT('Ground-Truth'!$D$6,"0"),1,0))</f>
        <v/>
      </c>
      <c r="U53" s="2">
        <f t="shared" si="6"/>
        <v>2</v>
      </c>
      <c r="V53" s="2">
        <f t="shared" si="7"/>
        <v>3</v>
      </c>
      <c r="W53" s="2">
        <f t="shared" si="8"/>
        <v>66.666666666666657</v>
      </c>
      <c r="X53" s="4" t="str">
        <f t="shared" si="9"/>
        <v>gpt-5-chat_C1_Hybrid</v>
      </c>
    </row>
    <row r="54" spans="1:24" ht="15" customHeight="1" x14ac:dyDescent="0.25">
      <c r="A54" s="3" t="s">
        <v>40</v>
      </c>
      <c r="B54" s="2" t="s">
        <v>41</v>
      </c>
      <c r="C54" s="2" t="s">
        <v>52</v>
      </c>
      <c r="D54" s="2">
        <v>3</v>
      </c>
      <c r="E54" s="2">
        <v>12.96</v>
      </c>
      <c r="F54" s="2">
        <v>4.5448000000000002E-2</v>
      </c>
      <c r="G54" s="2">
        <v>23014</v>
      </c>
      <c r="H54" s="2">
        <v>1668</v>
      </c>
      <c r="I54" s="2">
        <f t="shared" si="5"/>
        <v>24682</v>
      </c>
      <c r="J54" s="2">
        <v>1</v>
      </c>
      <c r="K54" s="2" t="s">
        <v>43</v>
      </c>
      <c r="L54" s="2" t="s">
        <v>10</v>
      </c>
      <c r="M54" s="2" t="s">
        <v>12</v>
      </c>
      <c r="N54" s="2" t="s">
        <v>12</v>
      </c>
      <c r="O54" s="2" t="s">
        <v>15</v>
      </c>
      <c r="P54" s="2">
        <f>IF(OR('Ground-Truth'!$C$2&lt;&gt;"Ja",'Ground-Truth'!$D$2=""),"",IF(TEXT(K54,"0")=TEXT('Ground-Truth'!$D$2,"0"),1,0))</f>
        <v>0</v>
      </c>
      <c r="Q54" s="2">
        <f>IF(OR('Ground-Truth'!$C$3&lt;&gt;"Ja",'Ground-Truth'!$D$3=""),"",IF(TEXT(L54,"0")=TEXT('Ground-Truth'!$D$3,"0"),1,0))</f>
        <v>1</v>
      </c>
      <c r="R54" s="2">
        <f>IF(OR('Ground-Truth'!$C$4&lt;&gt;"Ja",'Ground-Truth'!$D$4=""),"",IF(TEXT(M54,"0")=TEXT('Ground-Truth'!$D$4,"0"),1,0))</f>
        <v>1</v>
      </c>
      <c r="S54" s="2" t="str">
        <f>IF(OR('Ground-Truth'!$C$5&lt;&gt;"Ja",'Ground-Truth'!$D$5=""),"",IF(TEXT(N54,"0")=TEXT('Ground-Truth'!$D$5,"0"),1,0))</f>
        <v/>
      </c>
      <c r="T54" s="2" t="str">
        <f>IF(OR('Ground-Truth'!$C$6&lt;&gt;"Ja",'Ground-Truth'!$D$6=""),"",IF(TEXT(O54,"0")=TEXT('Ground-Truth'!$D$6,"0"),1,0))</f>
        <v/>
      </c>
      <c r="U54" s="2">
        <f t="shared" si="6"/>
        <v>2</v>
      </c>
      <c r="V54" s="2">
        <f t="shared" si="7"/>
        <v>3</v>
      </c>
      <c r="W54" s="2">
        <f t="shared" si="8"/>
        <v>66.666666666666657</v>
      </c>
      <c r="X54" s="4" t="str">
        <f t="shared" si="9"/>
        <v>gpt-5-chat_C1_Hybrid</v>
      </c>
    </row>
    <row r="55" spans="1:24" ht="15" customHeight="1" x14ac:dyDescent="0.25">
      <c r="A55" s="3" t="s">
        <v>40</v>
      </c>
      <c r="B55" s="2" t="s">
        <v>41</v>
      </c>
      <c r="C55" s="2" t="s">
        <v>52</v>
      </c>
      <c r="D55" s="2">
        <v>4</v>
      </c>
      <c r="E55" s="2">
        <v>9.0399999999999991</v>
      </c>
      <c r="F55" s="2">
        <v>3.8707999999999999E-2</v>
      </c>
      <c r="G55" s="2">
        <v>23014</v>
      </c>
      <c r="H55" s="2">
        <v>994</v>
      </c>
      <c r="I55" s="2">
        <f t="shared" si="5"/>
        <v>24008</v>
      </c>
      <c r="J55" s="2">
        <v>1</v>
      </c>
      <c r="K55" s="2" t="s">
        <v>43</v>
      </c>
      <c r="L55" s="2" t="s">
        <v>10</v>
      </c>
      <c r="M55" s="2" t="s">
        <v>12</v>
      </c>
      <c r="N55" s="2" t="s">
        <v>12</v>
      </c>
      <c r="O55" s="2" t="s">
        <v>15</v>
      </c>
      <c r="P55" s="2">
        <f>IF(OR('Ground-Truth'!$C$2&lt;&gt;"Ja",'Ground-Truth'!$D$2=""),"",IF(TEXT(K55,"0")=TEXT('Ground-Truth'!$D$2,"0"),1,0))</f>
        <v>0</v>
      </c>
      <c r="Q55" s="2">
        <f>IF(OR('Ground-Truth'!$C$3&lt;&gt;"Ja",'Ground-Truth'!$D$3=""),"",IF(TEXT(L55,"0")=TEXT('Ground-Truth'!$D$3,"0"),1,0))</f>
        <v>1</v>
      </c>
      <c r="R55" s="2">
        <f>IF(OR('Ground-Truth'!$C$4&lt;&gt;"Ja",'Ground-Truth'!$D$4=""),"",IF(TEXT(M55,"0")=TEXT('Ground-Truth'!$D$4,"0"),1,0))</f>
        <v>1</v>
      </c>
      <c r="S55" s="2" t="str">
        <f>IF(OR('Ground-Truth'!$C$5&lt;&gt;"Ja",'Ground-Truth'!$D$5=""),"",IF(TEXT(N55,"0")=TEXT('Ground-Truth'!$D$5,"0"),1,0))</f>
        <v/>
      </c>
      <c r="T55" s="2" t="str">
        <f>IF(OR('Ground-Truth'!$C$6&lt;&gt;"Ja",'Ground-Truth'!$D$6=""),"",IF(TEXT(O55,"0")=TEXT('Ground-Truth'!$D$6,"0"),1,0))</f>
        <v/>
      </c>
      <c r="U55" s="2">
        <f t="shared" si="6"/>
        <v>2</v>
      </c>
      <c r="V55" s="2">
        <f t="shared" si="7"/>
        <v>3</v>
      </c>
      <c r="W55" s="2">
        <f t="shared" si="8"/>
        <v>66.666666666666657</v>
      </c>
      <c r="X55" s="4" t="str">
        <f t="shared" si="9"/>
        <v>gpt-5-chat_C1_Hybrid</v>
      </c>
    </row>
    <row r="56" spans="1:24" ht="15" customHeight="1" x14ac:dyDescent="0.25">
      <c r="A56" s="3" t="s">
        <v>40</v>
      </c>
      <c r="B56" s="2" t="s">
        <v>41</v>
      </c>
      <c r="C56" s="2" t="s">
        <v>52</v>
      </c>
      <c r="D56" s="2">
        <v>5</v>
      </c>
      <c r="E56" s="2">
        <v>13.71</v>
      </c>
      <c r="F56" s="2">
        <v>4.6078000000000001E-2</v>
      </c>
      <c r="G56" s="2">
        <v>23014</v>
      </c>
      <c r="H56" s="2">
        <v>1731</v>
      </c>
      <c r="I56" s="2">
        <f t="shared" si="5"/>
        <v>24745</v>
      </c>
      <c r="J56" s="2">
        <v>1</v>
      </c>
      <c r="K56" s="2" t="s">
        <v>43</v>
      </c>
      <c r="L56" s="2" t="s">
        <v>10</v>
      </c>
      <c r="M56" s="2" t="s">
        <v>12</v>
      </c>
      <c r="N56" s="2" t="s">
        <v>12</v>
      </c>
      <c r="O56" s="2" t="s">
        <v>15</v>
      </c>
      <c r="P56" s="2">
        <f>IF(OR('Ground-Truth'!$C$2&lt;&gt;"Ja",'Ground-Truth'!$D$2=""),"",IF(TEXT(K56,"0")=TEXT('Ground-Truth'!$D$2,"0"),1,0))</f>
        <v>0</v>
      </c>
      <c r="Q56" s="2">
        <f>IF(OR('Ground-Truth'!$C$3&lt;&gt;"Ja",'Ground-Truth'!$D$3=""),"",IF(TEXT(L56,"0")=TEXT('Ground-Truth'!$D$3,"0"),1,0))</f>
        <v>1</v>
      </c>
      <c r="R56" s="2">
        <f>IF(OR('Ground-Truth'!$C$4&lt;&gt;"Ja",'Ground-Truth'!$D$4=""),"",IF(TEXT(M56,"0")=TEXT('Ground-Truth'!$D$4,"0"),1,0))</f>
        <v>1</v>
      </c>
      <c r="S56" s="2" t="str">
        <f>IF(OR('Ground-Truth'!$C$5&lt;&gt;"Ja",'Ground-Truth'!$D$5=""),"",IF(TEXT(N56,"0")=TEXT('Ground-Truth'!$D$5,"0"),1,0))</f>
        <v/>
      </c>
      <c r="T56" s="2" t="str">
        <f>IF(OR('Ground-Truth'!$C$6&lt;&gt;"Ja",'Ground-Truth'!$D$6=""),"",IF(TEXT(O56,"0")=TEXT('Ground-Truth'!$D$6,"0"),1,0))</f>
        <v/>
      </c>
      <c r="U56" s="2">
        <f t="shared" si="6"/>
        <v>2</v>
      </c>
      <c r="V56" s="2">
        <f t="shared" si="7"/>
        <v>3</v>
      </c>
      <c r="W56" s="2">
        <f t="shared" si="8"/>
        <v>66.666666666666657</v>
      </c>
      <c r="X56" s="4" t="str">
        <f t="shared" si="9"/>
        <v>gpt-5-chat_C1_Hybrid</v>
      </c>
    </row>
    <row r="57" spans="1:24" ht="15" customHeight="1" x14ac:dyDescent="0.25">
      <c r="A57" s="3" t="s">
        <v>40</v>
      </c>
      <c r="B57" s="2" t="s">
        <v>44</v>
      </c>
      <c r="C57" s="2" t="s">
        <v>52</v>
      </c>
      <c r="D57" s="2">
        <v>1</v>
      </c>
      <c r="E57" s="2">
        <v>18.5</v>
      </c>
      <c r="F57" s="2">
        <v>2.5510000000000001E-2</v>
      </c>
      <c r="G57" s="2">
        <v>6576</v>
      </c>
      <c r="H57" s="2">
        <v>1729</v>
      </c>
      <c r="I57" s="2">
        <f t="shared" si="5"/>
        <v>8305</v>
      </c>
      <c r="J57" s="2">
        <v>5</v>
      </c>
      <c r="K57" s="2" t="s">
        <v>43</v>
      </c>
      <c r="L57" s="2" t="s">
        <v>10</v>
      </c>
      <c r="M57" s="2" t="s">
        <v>12</v>
      </c>
      <c r="N57" s="2" t="s">
        <v>12</v>
      </c>
      <c r="O57" s="2" t="s">
        <v>15</v>
      </c>
      <c r="P57" s="2">
        <f>IF(OR('Ground-Truth'!$C$2&lt;&gt;"Ja",'Ground-Truth'!$D$2=""),"",IF(TEXT(K57,"0")=TEXT('Ground-Truth'!$D$2,"0"),1,0))</f>
        <v>0</v>
      </c>
      <c r="Q57" s="2">
        <f>IF(OR('Ground-Truth'!$C$3&lt;&gt;"Ja",'Ground-Truth'!$D$3=""),"",IF(TEXT(L57,"0")=TEXT('Ground-Truth'!$D$3,"0"),1,0))</f>
        <v>1</v>
      </c>
      <c r="R57" s="2">
        <f>IF(OR('Ground-Truth'!$C$4&lt;&gt;"Ja",'Ground-Truth'!$D$4=""),"",IF(TEXT(M57,"0")=TEXT('Ground-Truth'!$D$4,"0"),1,0))</f>
        <v>1</v>
      </c>
      <c r="S57" s="2" t="str">
        <f>IF(OR('Ground-Truth'!$C$5&lt;&gt;"Ja",'Ground-Truth'!$D$5=""),"",IF(TEXT(N57,"0")=TEXT('Ground-Truth'!$D$5,"0"),1,0))</f>
        <v/>
      </c>
      <c r="T57" s="2" t="str">
        <f>IF(OR('Ground-Truth'!$C$6&lt;&gt;"Ja",'Ground-Truth'!$D$6=""),"",IF(TEXT(O57,"0")=TEXT('Ground-Truth'!$D$6,"0"),1,0))</f>
        <v/>
      </c>
      <c r="U57" s="2">
        <f t="shared" si="6"/>
        <v>2</v>
      </c>
      <c r="V57" s="2">
        <f t="shared" si="7"/>
        <v>3</v>
      </c>
      <c r="W57" s="2">
        <f t="shared" si="8"/>
        <v>66.666666666666657</v>
      </c>
      <c r="X57" s="4" t="str">
        <f t="shared" si="9"/>
        <v>gpt-5-chat_C2_Precision</v>
      </c>
    </row>
    <row r="58" spans="1:24" ht="15" customHeight="1" x14ac:dyDescent="0.25">
      <c r="A58" s="3" t="s">
        <v>40</v>
      </c>
      <c r="B58" s="2" t="s">
        <v>44</v>
      </c>
      <c r="C58" s="2" t="s">
        <v>52</v>
      </c>
      <c r="D58" s="2">
        <v>2</v>
      </c>
      <c r="E58" s="2">
        <v>17.75</v>
      </c>
      <c r="F58" s="2">
        <v>2.52E-2</v>
      </c>
      <c r="G58" s="2">
        <v>6576</v>
      </c>
      <c r="H58" s="2">
        <v>1698</v>
      </c>
      <c r="I58" s="2">
        <f t="shared" si="5"/>
        <v>8274</v>
      </c>
      <c r="J58" s="2">
        <v>5</v>
      </c>
      <c r="K58" s="2" t="s">
        <v>43</v>
      </c>
      <c r="L58" s="2" t="s">
        <v>10</v>
      </c>
      <c r="M58" s="2" t="s">
        <v>12</v>
      </c>
      <c r="N58" s="2" t="s">
        <v>12</v>
      </c>
      <c r="O58" s="2" t="s">
        <v>15</v>
      </c>
      <c r="P58" s="2">
        <f>IF(OR('Ground-Truth'!$C$2&lt;&gt;"Ja",'Ground-Truth'!$D$2=""),"",IF(TEXT(K58,"0")=TEXT('Ground-Truth'!$D$2,"0"),1,0))</f>
        <v>0</v>
      </c>
      <c r="Q58" s="2">
        <f>IF(OR('Ground-Truth'!$C$3&lt;&gt;"Ja",'Ground-Truth'!$D$3=""),"",IF(TEXT(L58,"0")=TEXT('Ground-Truth'!$D$3,"0"),1,0))</f>
        <v>1</v>
      </c>
      <c r="R58" s="2">
        <f>IF(OR('Ground-Truth'!$C$4&lt;&gt;"Ja",'Ground-Truth'!$D$4=""),"",IF(TEXT(M58,"0")=TEXT('Ground-Truth'!$D$4,"0"),1,0))</f>
        <v>1</v>
      </c>
      <c r="S58" s="2" t="str">
        <f>IF(OR('Ground-Truth'!$C$5&lt;&gt;"Ja",'Ground-Truth'!$D$5=""),"",IF(TEXT(N58,"0")=TEXT('Ground-Truth'!$D$5,"0"),1,0))</f>
        <v/>
      </c>
      <c r="T58" s="2" t="str">
        <f>IF(OR('Ground-Truth'!$C$6&lt;&gt;"Ja",'Ground-Truth'!$D$6=""),"",IF(TEXT(O58,"0")=TEXT('Ground-Truth'!$D$6,"0"),1,0))</f>
        <v/>
      </c>
      <c r="U58" s="2">
        <f t="shared" si="6"/>
        <v>2</v>
      </c>
      <c r="V58" s="2">
        <f t="shared" si="7"/>
        <v>3</v>
      </c>
      <c r="W58" s="2">
        <f t="shared" si="8"/>
        <v>66.666666666666657</v>
      </c>
      <c r="X58" s="4" t="str">
        <f t="shared" si="9"/>
        <v>gpt-5-chat_C2_Precision</v>
      </c>
    </row>
    <row r="59" spans="1:24" ht="15" customHeight="1" x14ac:dyDescent="0.25">
      <c r="A59" s="3" t="s">
        <v>40</v>
      </c>
      <c r="B59" s="2" t="s">
        <v>44</v>
      </c>
      <c r="C59" s="2" t="s">
        <v>52</v>
      </c>
      <c r="D59" s="2">
        <v>3</v>
      </c>
      <c r="E59" s="2">
        <v>17.87</v>
      </c>
      <c r="F59" s="2">
        <v>2.5559999999999999E-2</v>
      </c>
      <c r="G59" s="2">
        <v>6576</v>
      </c>
      <c r="H59" s="2">
        <v>1734</v>
      </c>
      <c r="I59" s="2">
        <f t="shared" si="5"/>
        <v>8310</v>
      </c>
      <c r="J59" s="2">
        <v>5</v>
      </c>
      <c r="K59" s="2" t="s">
        <v>43</v>
      </c>
      <c r="L59" s="2" t="s">
        <v>10</v>
      </c>
      <c r="M59" s="2" t="s">
        <v>12</v>
      </c>
      <c r="N59" s="2" t="s">
        <v>12</v>
      </c>
      <c r="O59" s="2" t="s">
        <v>15</v>
      </c>
      <c r="P59" s="2">
        <f>IF(OR('Ground-Truth'!$C$2&lt;&gt;"Ja",'Ground-Truth'!$D$2=""),"",IF(TEXT(K59,"0")=TEXT('Ground-Truth'!$D$2,"0"),1,0))</f>
        <v>0</v>
      </c>
      <c r="Q59" s="2">
        <f>IF(OR('Ground-Truth'!$C$3&lt;&gt;"Ja",'Ground-Truth'!$D$3=""),"",IF(TEXT(L59,"0")=TEXT('Ground-Truth'!$D$3,"0"),1,0))</f>
        <v>1</v>
      </c>
      <c r="R59" s="2">
        <f>IF(OR('Ground-Truth'!$C$4&lt;&gt;"Ja",'Ground-Truth'!$D$4=""),"",IF(TEXT(M59,"0")=TEXT('Ground-Truth'!$D$4,"0"),1,0))</f>
        <v>1</v>
      </c>
      <c r="S59" s="2" t="str">
        <f>IF(OR('Ground-Truth'!$C$5&lt;&gt;"Ja",'Ground-Truth'!$D$5=""),"",IF(TEXT(N59,"0")=TEXT('Ground-Truth'!$D$5,"0"),1,0))</f>
        <v/>
      </c>
      <c r="T59" s="2" t="str">
        <f>IF(OR('Ground-Truth'!$C$6&lt;&gt;"Ja",'Ground-Truth'!$D$6=""),"",IF(TEXT(O59,"0")=TEXT('Ground-Truth'!$D$6,"0"),1,0))</f>
        <v/>
      </c>
      <c r="U59" s="2">
        <f t="shared" si="6"/>
        <v>2</v>
      </c>
      <c r="V59" s="2">
        <f t="shared" si="7"/>
        <v>3</v>
      </c>
      <c r="W59" s="2">
        <f t="shared" si="8"/>
        <v>66.666666666666657</v>
      </c>
      <c r="X59" s="4" t="str">
        <f t="shared" si="9"/>
        <v>gpt-5-chat_C2_Precision</v>
      </c>
    </row>
    <row r="60" spans="1:24" ht="15" customHeight="1" x14ac:dyDescent="0.25">
      <c r="A60" s="3" t="s">
        <v>40</v>
      </c>
      <c r="B60" s="2" t="s">
        <v>44</v>
      </c>
      <c r="C60" s="2" t="s">
        <v>52</v>
      </c>
      <c r="D60" s="2">
        <v>4</v>
      </c>
      <c r="E60" s="2">
        <v>17.61</v>
      </c>
      <c r="F60" s="2">
        <v>2.5360000000000001E-2</v>
      </c>
      <c r="G60" s="2">
        <v>6576</v>
      </c>
      <c r="H60" s="2">
        <v>1714</v>
      </c>
      <c r="I60" s="2">
        <f t="shared" si="5"/>
        <v>8290</v>
      </c>
      <c r="J60" s="2">
        <v>5</v>
      </c>
      <c r="K60" s="2" t="s">
        <v>43</v>
      </c>
      <c r="L60" s="2" t="s">
        <v>10</v>
      </c>
      <c r="M60" s="2" t="s">
        <v>12</v>
      </c>
      <c r="N60" s="2" t="s">
        <v>12</v>
      </c>
      <c r="O60" s="2" t="s">
        <v>15</v>
      </c>
      <c r="P60" s="2">
        <f>IF(OR('Ground-Truth'!$C$2&lt;&gt;"Ja",'Ground-Truth'!$D$2=""),"",IF(TEXT(K60,"0")=TEXT('Ground-Truth'!$D$2,"0"),1,0))</f>
        <v>0</v>
      </c>
      <c r="Q60" s="2">
        <f>IF(OR('Ground-Truth'!$C$3&lt;&gt;"Ja",'Ground-Truth'!$D$3=""),"",IF(TEXT(L60,"0")=TEXT('Ground-Truth'!$D$3,"0"),1,0))</f>
        <v>1</v>
      </c>
      <c r="R60" s="2">
        <f>IF(OR('Ground-Truth'!$C$4&lt;&gt;"Ja",'Ground-Truth'!$D$4=""),"",IF(TEXT(M60,"0")=TEXT('Ground-Truth'!$D$4,"0"),1,0))</f>
        <v>1</v>
      </c>
      <c r="S60" s="2" t="str">
        <f>IF(OR('Ground-Truth'!$C$5&lt;&gt;"Ja",'Ground-Truth'!$D$5=""),"",IF(TEXT(N60,"0")=TEXT('Ground-Truth'!$D$5,"0"),1,0))</f>
        <v/>
      </c>
      <c r="T60" s="2" t="str">
        <f>IF(OR('Ground-Truth'!$C$6&lt;&gt;"Ja",'Ground-Truth'!$D$6=""),"",IF(TEXT(O60,"0")=TEXT('Ground-Truth'!$D$6,"0"),1,0))</f>
        <v/>
      </c>
      <c r="U60" s="2">
        <f t="shared" si="6"/>
        <v>2</v>
      </c>
      <c r="V60" s="2">
        <f t="shared" si="7"/>
        <v>3</v>
      </c>
      <c r="W60" s="2">
        <f t="shared" si="8"/>
        <v>66.666666666666657</v>
      </c>
      <c r="X60" s="4" t="str">
        <f t="shared" si="9"/>
        <v>gpt-5-chat_C2_Precision</v>
      </c>
    </row>
    <row r="61" spans="1:24" ht="15" customHeight="1" x14ac:dyDescent="0.25">
      <c r="A61" s="3" t="s">
        <v>40</v>
      </c>
      <c r="B61" s="2" t="s">
        <v>44</v>
      </c>
      <c r="C61" s="2" t="s">
        <v>52</v>
      </c>
      <c r="D61" s="2">
        <v>5</v>
      </c>
      <c r="E61" s="2">
        <v>19.14</v>
      </c>
      <c r="F61" s="2">
        <v>2.589E-2</v>
      </c>
      <c r="G61" s="2">
        <v>6576</v>
      </c>
      <c r="H61" s="2">
        <v>1767</v>
      </c>
      <c r="I61" s="2">
        <f t="shared" si="5"/>
        <v>8343</v>
      </c>
      <c r="J61" s="2">
        <v>5</v>
      </c>
      <c r="K61" s="2" t="s">
        <v>8</v>
      </c>
      <c r="L61" s="2" t="s">
        <v>10</v>
      </c>
      <c r="M61" s="2" t="s">
        <v>12</v>
      </c>
      <c r="N61" s="2" t="s">
        <v>12</v>
      </c>
      <c r="O61" s="2" t="s">
        <v>15</v>
      </c>
      <c r="P61" s="2">
        <f>IF(OR('Ground-Truth'!$C$2&lt;&gt;"Ja",'Ground-Truth'!$D$2=""),"",IF(TEXT(K61,"0")=TEXT('Ground-Truth'!$D$2,"0"),1,0))</f>
        <v>1</v>
      </c>
      <c r="Q61" s="2">
        <f>IF(OR('Ground-Truth'!$C$3&lt;&gt;"Ja",'Ground-Truth'!$D$3=""),"",IF(TEXT(L61,"0")=TEXT('Ground-Truth'!$D$3,"0"),1,0))</f>
        <v>1</v>
      </c>
      <c r="R61" s="2">
        <f>IF(OR('Ground-Truth'!$C$4&lt;&gt;"Ja",'Ground-Truth'!$D$4=""),"",IF(TEXT(M61,"0")=TEXT('Ground-Truth'!$D$4,"0"),1,0))</f>
        <v>1</v>
      </c>
      <c r="S61" s="2" t="str">
        <f>IF(OR('Ground-Truth'!$C$5&lt;&gt;"Ja",'Ground-Truth'!$D$5=""),"",IF(TEXT(N61,"0")=TEXT('Ground-Truth'!$D$5,"0"),1,0))</f>
        <v/>
      </c>
      <c r="T61" s="2" t="str">
        <f>IF(OR('Ground-Truth'!$C$6&lt;&gt;"Ja",'Ground-Truth'!$D$6=""),"",IF(TEXT(O61,"0")=TEXT('Ground-Truth'!$D$6,"0"),1,0))</f>
        <v/>
      </c>
      <c r="U61" s="2">
        <f t="shared" si="6"/>
        <v>3</v>
      </c>
      <c r="V61" s="2">
        <f t="shared" si="7"/>
        <v>3</v>
      </c>
      <c r="W61" s="2">
        <f t="shared" si="8"/>
        <v>100</v>
      </c>
      <c r="X61" s="4" t="str">
        <f t="shared" si="9"/>
        <v>gpt-5-chat_C2_Precision</v>
      </c>
    </row>
    <row r="62" spans="1:24" ht="15" customHeight="1" x14ac:dyDescent="0.25">
      <c r="A62" s="3" t="s">
        <v>40</v>
      </c>
      <c r="B62" s="2" t="s">
        <v>46</v>
      </c>
      <c r="C62" s="2" t="s">
        <v>52</v>
      </c>
      <c r="D62" s="2">
        <v>1</v>
      </c>
      <c r="E62" s="2">
        <v>20.73</v>
      </c>
      <c r="F62" s="2">
        <v>0.157638</v>
      </c>
      <c r="G62" s="2">
        <v>112054</v>
      </c>
      <c r="H62" s="2">
        <v>1757</v>
      </c>
      <c r="I62" s="2">
        <f t="shared" si="5"/>
        <v>113811</v>
      </c>
      <c r="J62" s="2">
        <v>5</v>
      </c>
      <c r="K62" s="2" t="s">
        <v>43</v>
      </c>
      <c r="L62" s="2" t="s">
        <v>10</v>
      </c>
      <c r="M62" s="2" t="s">
        <v>12</v>
      </c>
      <c r="N62" s="2" t="s">
        <v>12</v>
      </c>
      <c r="O62" s="2" t="s">
        <v>15</v>
      </c>
      <c r="P62" s="2">
        <f>IF(OR('Ground-Truth'!$C$2&lt;&gt;"Ja",'Ground-Truth'!$D$2=""),"",IF(TEXT(K62,"0")=TEXT('Ground-Truth'!$D$2,"0"),1,0))</f>
        <v>0</v>
      </c>
      <c r="Q62" s="2">
        <f>IF(OR('Ground-Truth'!$C$3&lt;&gt;"Ja",'Ground-Truth'!$D$3=""),"",IF(TEXT(L62,"0")=TEXT('Ground-Truth'!$D$3,"0"),1,0))</f>
        <v>1</v>
      </c>
      <c r="R62" s="2">
        <f>IF(OR('Ground-Truth'!$C$4&lt;&gt;"Ja",'Ground-Truth'!$D$4=""),"",IF(TEXT(M62,"0")=TEXT('Ground-Truth'!$D$4,"0"),1,0))</f>
        <v>1</v>
      </c>
      <c r="S62" s="2" t="str">
        <f>IF(OR('Ground-Truth'!$C$5&lt;&gt;"Ja",'Ground-Truth'!$D$5=""),"",IF(TEXT(N62,"0")=TEXT('Ground-Truth'!$D$5,"0"),1,0))</f>
        <v/>
      </c>
      <c r="T62" s="2" t="str">
        <f>IF(OR('Ground-Truth'!$C$6&lt;&gt;"Ja",'Ground-Truth'!$D$6=""),"",IF(TEXT(O62,"0")=TEXT('Ground-Truth'!$D$6,"0"),1,0))</f>
        <v/>
      </c>
      <c r="U62" s="2">
        <f t="shared" si="6"/>
        <v>2</v>
      </c>
      <c r="V62" s="2">
        <f t="shared" si="7"/>
        <v>3</v>
      </c>
      <c r="W62" s="2">
        <f t="shared" si="8"/>
        <v>66.666666666666657</v>
      </c>
      <c r="X62" s="4" t="str">
        <f t="shared" si="9"/>
        <v>gpt-5-chat_C3_Single</v>
      </c>
    </row>
    <row r="63" spans="1:24" ht="15" customHeight="1" x14ac:dyDescent="0.25">
      <c r="A63" s="3" t="s">
        <v>40</v>
      </c>
      <c r="B63" s="2" t="s">
        <v>46</v>
      </c>
      <c r="C63" s="2" t="s">
        <v>52</v>
      </c>
      <c r="D63" s="2">
        <v>2</v>
      </c>
      <c r="E63" s="2">
        <v>19.43</v>
      </c>
      <c r="F63" s="2">
        <v>0.157668</v>
      </c>
      <c r="G63" s="2">
        <v>112054</v>
      </c>
      <c r="H63" s="2">
        <v>1760</v>
      </c>
      <c r="I63" s="2">
        <f t="shared" si="5"/>
        <v>113814</v>
      </c>
      <c r="J63" s="2">
        <v>5</v>
      </c>
      <c r="K63" s="2" t="s">
        <v>43</v>
      </c>
      <c r="L63" s="2" t="s">
        <v>10</v>
      </c>
      <c r="M63" s="2" t="s">
        <v>12</v>
      </c>
      <c r="N63" s="2" t="s">
        <v>12</v>
      </c>
      <c r="O63" s="2" t="s">
        <v>15</v>
      </c>
      <c r="P63" s="2">
        <f>IF(OR('Ground-Truth'!$C$2&lt;&gt;"Ja",'Ground-Truth'!$D$2=""),"",IF(TEXT(K63,"0")=TEXT('Ground-Truth'!$D$2,"0"),1,0))</f>
        <v>0</v>
      </c>
      <c r="Q63" s="2">
        <f>IF(OR('Ground-Truth'!$C$3&lt;&gt;"Ja",'Ground-Truth'!$D$3=""),"",IF(TEXT(L63,"0")=TEXT('Ground-Truth'!$D$3,"0"),1,0))</f>
        <v>1</v>
      </c>
      <c r="R63" s="2">
        <f>IF(OR('Ground-Truth'!$C$4&lt;&gt;"Ja",'Ground-Truth'!$D$4=""),"",IF(TEXT(M63,"0")=TEXT('Ground-Truth'!$D$4,"0"),1,0))</f>
        <v>1</v>
      </c>
      <c r="S63" s="2" t="str">
        <f>IF(OR('Ground-Truth'!$C$5&lt;&gt;"Ja",'Ground-Truth'!$D$5=""),"",IF(TEXT(N63,"0")=TEXT('Ground-Truth'!$D$5,"0"),1,0))</f>
        <v/>
      </c>
      <c r="T63" s="2" t="str">
        <f>IF(OR('Ground-Truth'!$C$6&lt;&gt;"Ja",'Ground-Truth'!$D$6=""),"",IF(TEXT(O63,"0")=TEXT('Ground-Truth'!$D$6,"0"),1,0))</f>
        <v/>
      </c>
      <c r="U63" s="2">
        <f t="shared" si="6"/>
        <v>2</v>
      </c>
      <c r="V63" s="2">
        <f t="shared" si="7"/>
        <v>3</v>
      </c>
      <c r="W63" s="2">
        <f t="shared" si="8"/>
        <v>66.666666666666657</v>
      </c>
      <c r="X63" s="4" t="str">
        <f t="shared" si="9"/>
        <v>gpt-5-chat_C3_Single</v>
      </c>
    </row>
    <row r="64" spans="1:24" ht="15" customHeight="1" x14ac:dyDescent="0.25">
      <c r="A64" s="3" t="s">
        <v>40</v>
      </c>
      <c r="B64" s="2" t="s">
        <v>46</v>
      </c>
      <c r="C64" s="2" t="s">
        <v>52</v>
      </c>
      <c r="D64" s="2">
        <v>3</v>
      </c>
      <c r="E64" s="2">
        <v>20.5</v>
      </c>
      <c r="F64" s="2">
        <v>0.15779799999999999</v>
      </c>
      <c r="G64" s="2">
        <v>112054</v>
      </c>
      <c r="H64" s="2">
        <v>1773</v>
      </c>
      <c r="I64" s="2">
        <f t="shared" si="5"/>
        <v>113827</v>
      </c>
      <c r="J64" s="2">
        <v>5</v>
      </c>
      <c r="K64" s="2" t="s">
        <v>43</v>
      </c>
      <c r="L64" s="2" t="s">
        <v>10</v>
      </c>
      <c r="M64" s="2" t="s">
        <v>12</v>
      </c>
      <c r="N64" s="2" t="s">
        <v>12</v>
      </c>
      <c r="O64" s="2" t="s">
        <v>15</v>
      </c>
      <c r="P64" s="2">
        <f>IF(OR('Ground-Truth'!$C$2&lt;&gt;"Ja",'Ground-Truth'!$D$2=""),"",IF(TEXT(K64,"0")=TEXT('Ground-Truth'!$D$2,"0"),1,0))</f>
        <v>0</v>
      </c>
      <c r="Q64" s="2">
        <f>IF(OR('Ground-Truth'!$C$3&lt;&gt;"Ja",'Ground-Truth'!$D$3=""),"",IF(TEXT(L64,"0")=TEXT('Ground-Truth'!$D$3,"0"),1,0))</f>
        <v>1</v>
      </c>
      <c r="R64" s="2">
        <f>IF(OR('Ground-Truth'!$C$4&lt;&gt;"Ja",'Ground-Truth'!$D$4=""),"",IF(TEXT(M64,"0")=TEXT('Ground-Truth'!$D$4,"0"),1,0))</f>
        <v>1</v>
      </c>
      <c r="S64" s="2" t="str">
        <f>IF(OR('Ground-Truth'!$C$5&lt;&gt;"Ja",'Ground-Truth'!$D$5=""),"",IF(TEXT(N64,"0")=TEXT('Ground-Truth'!$D$5,"0"),1,0))</f>
        <v/>
      </c>
      <c r="T64" s="2" t="str">
        <f>IF(OR('Ground-Truth'!$C$6&lt;&gt;"Ja",'Ground-Truth'!$D$6=""),"",IF(TEXT(O64,"0")=TEXT('Ground-Truth'!$D$6,"0"),1,0))</f>
        <v/>
      </c>
      <c r="U64" s="2">
        <f t="shared" si="6"/>
        <v>2</v>
      </c>
      <c r="V64" s="2">
        <f t="shared" si="7"/>
        <v>3</v>
      </c>
      <c r="W64" s="2">
        <f t="shared" si="8"/>
        <v>66.666666666666657</v>
      </c>
      <c r="X64" s="4" t="str">
        <f t="shared" si="9"/>
        <v>gpt-5-chat_C3_Single</v>
      </c>
    </row>
    <row r="65" spans="1:24" ht="15" customHeight="1" x14ac:dyDescent="0.25">
      <c r="A65" s="3" t="s">
        <v>40</v>
      </c>
      <c r="B65" s="2" t="s">
        <v>46</v>
      </c>
      <c r="C65" s="2" t="s">
        <v>52</v>
      </c>
      <c r="D65" s="2">
        <v>4</v>
      </c>
      <c r="E65" s="2">
        <v>23.43</v>
      </c>
      <c r="F65" s="2">
        <v>0.157418</v>
      </c>
      <c r="G65" s="2">
        <v>112054</v>
      </c>
      <c r="H65" s="2">
        <v>1735</v>
      </c>
      <c r="I65" s="2">
        <f t="shared" si="5"/>
        <v>113789</v>
      </c>
      <c r="J65" s="2">
        <v>5</v>
      </c>
      <c r="K65" s="2" t="s">
        <v>43</v>
      </c>
      <c r="L65" s="2" t="s">
        <v>10</v>
      </c>
      <c r="M65" s="2" t="s">
        <v>12</v>
      </c>
      <c r="N65" s="2" t="s">
        <v>12</v>
      </c>
      <c r="O65" s="2" t="s">
        <v>15</v>
      </c>
      <c r="P65" s="2">
        <f>IF(OR('Ground-Truth'!$C$2&lt;&gt;"Ja",'Ground-Truth'!$D$2=""),"",IF(TEXT(K65,"0")=TEXT('Ground-Truth'!$D$2,"0"),1,0))</f>
        <v>0</v>
      </c>
      <c r="Q65" s="2">
        <f>IF(OR('Ground-Truth'!$C$3&lt;&gt;"Ja",'Ground-Truth'!$D$3=""),"",IF(TEXT(L65,"0")=TEXT('Ground-Truth'!$D$3,"0"),1,0))</f>
        <v>1</v>
      </c>
      <c r="R65" s="2">
        <f>IF(OR('Ground-Truth'!$C$4&lt;&gt;"Ja",'Ground-Truth'!$D$4=""),"",IF(TEXT(M65,"0")=TEXT('Ground-Truth'!$D$4,"0"),1,0))</f>
        <v>1</v>
      </c>
      <c r="S65" s="2" t="str">
        <f>IF(OR('Ground-Truth'!$C$5&lt;&gt;"Ja",'Ground-Truth'!$D$5=""),"",IF(TEXT(N65,"0")=TEXT('Ground-Truth'!$D$5,"0"),1,0))</f>
        <v/>
      </c>
      <c r="T65" s="2" t="str">
        <f>IF(OR('Ground-Truth'!$C$6&lt;&gt;"Ja",'Ground-Truth'!$D$6=""),"",IF(TEXT(O65,"0")=TEXT('Ground-Truth'!$D$6,"0"),1,0))</f>
        <v/>
      </c>
      <c r="U65" s="2">
        <f t="shared" si="6"/>
        <v>2</v>
      </c>
      <c r="V65" s="2">
        <f t="shared" si="7"/>
        <v>3</v>
      </c>
      <c r="W65" s="2">
        <f t="shared" si="8"/>
        <v>66.666666666666657</v>
      </c>
      <c r="X65" s="4" t="str">
        <f t="shared" si="9"/>
        <v>gpt-5-chat_C3_Single</v>
      </c>
    </row>
    <row r="66" spans="1:24" ht="15" customHeight="1" x14ac:dyDescent="0.25">
      <c r="A66" s="3" t="s">
        <v>40</v>
      </c>
      <c r="B66" s="2" t="s">
        <v>46</v>
      </c>
      <c r="C66" s="2" t="s">
        <v>52</v>
      </c>
      <c r="D66" s="2">
        <v>5</v>
      </c>
      <c r="E66" s="2">
        <v>18.670000000000002</v>
      </c>
      <c r="F66" s="2">
        <v>0.156748</v>
      </c>
      <c r="G66" s="2">
        <v>112054</v>
      </c>
      <c r="H66" s="2">
        <v>1668</v>
      </c>
      <c r="I66" s="2">
        <f t="shared" ref="I66:I97" si="10">G66+H66</f>
        <v>113722</v>
      </c>
      <c r="J66" s="2">
        <v>5</v>
      </c>
      <c r="K66" s="2" t="s">
        <v>43</v>
      </c>
      <c r="L66" s="2" t="s">
        <v>10</v>
      </c>
      <c r="M66" s="2" t="s">
        <v>12</v>
      </c>
      <c r="N66" s="2" t="s">
        <v>12</v>
      </c>
      <c r="O66" s="2" t="s">
        <v>15</v>
      </c>
      <c r="P66" s="2">
        <f>IF(OR('Ground-Truth'!$C$2&lt;&gt;"Ja",'Ground-Truth'!$D$2=""),"",IF(TEXT(K66,"0")=TEXT('Ground-Truth'!$D$2,"0"),1,0))</f>
        <v>0</v>
      </c>
      <c r="Q66" s="2">
        <f>IF(OR('Ground-Truth'!$C$3&lt;&gt;"Ja",'Ground-Truth'!$D$3=""),"",IF(TEXT(L66,"0")=TEXT('Ground-Truth'!$D$3,"0"),1,0))</f>
        <v>1</v>
      </c>
      <c r="R66" s="2">
        <f>IF(OR('Ground-Truth'!$C$4&lt;&gt;"Ja",'Ground-Truth'!$D$4=""),"",IF(TEXT(M66,"0")=TEXT('Ground-Truth'!$D$4,"0"),1,0))</f>
        <v>1</v>
      </c>
      <c r="S66" s="2" t="str">
        <f>IF(OR('Ground-Truth'!$C$5&lt;&gt;"Ja",'Ground-Truth'!$D$5=""),"",IF(TEXT(N66,"0")=TEXT('Ground-Truth'!$D$5,"0"),1,0))</f>
        <v/>
      </c>
      <c r="T66" s="2" t="str">
        <f>IF(OR('Ground-Truth'!$C$6&lt;&gt;"Ja",'Ground-Truth'!$D$6=""),"",IF(TEXT(O66,"0")=TEXT('Ground-Truth'!$D$6,"0"),1,0))</f>
        <v/>
      </c>
      <c r="U66" s="2">
        <f t="shared" ref="U66:U97" si="11">SUM(P66:T66)</f>
        <v>2</v>
      </c>
      <c r="V66" s="2">
        <f t="shared" ref="V66:V97" si="12">COUNT(P66:T66)</f>
        <v>3</v>
      </c>
      <c r="W66" s="2">
        <f t="shared" ref="W66:W97" si="13">IF(V66=0,0,U66/V66*100)</f>
        <v>66.666666666666657</v>
      </c>
      <c r="X66" s="4" t="str">
        <f t="shared" ref="X66:X97" si="14">C66&amp;"_"&amp;B66</f>
        <v>gpt-5-chat_C3_Single</v>
      </c>
    </row>
    <row r="67" spans="1:24" ht="15" customHeight="1" x14ac:dyDescent="0.25">
      <c r="A67" s="3" t="s">
        <v>40</v>
      </c>
      <c r="B67" s="2" t="s">
        <v>47</v>
      </c>
      <c r="C67" s="2" t="s">
        <v>52</v>
      </c>
      <c r="D67" s="2">
        <v>1</v>
      </c>
      <c r="E67" s="2">
        <v>19.3</v>
      </c>
      <c r="F67" s="2">
        <v>0.15750800000000001</v>
      </c>
      <c r="G67" s="2">
        <v>112054</v>
      </c>
      <c r="H67" s="2">
        <v>1744</v>
      </c>
      <c r="I67" s="2">
        <f t="shared" si="10"/>
        <v>113798</v>
      </c>
      <c r="J67" s="2">
        <v>5</v>
      </c>
      <c r="K67" s="2" t="s">
        <v>8</v>
      </c>
      <c r="L67" s="2" t="s">
        <v>10</v>
      </c>
      <c r="M67" s="2" t="s">
        <v>12</v>
      </c>
      <c r="N67" s="2" t="s">
        <v>12</v>
      </c>
      <c r="O67" s="2" t="s">
        <v>15</v>
      </c>
      <c r="P67" s="2">
        <f>IF(OR('Ground-Truth'!$C$2&lt;&gt;"Ja",'Ground-Truth'!$D$2=""),"",IF(TEXT(K67,"0")=TEXT('Ground-Truth'!$D$2,"0"),1,0))</f>
        <v>1</v>
      </c>
      <c r="Q67" s="2">
        <f>IF(OR('Ground-Truth'!$C$3&lt;&gt;"Ja",'Ground-Truth'!$D$3=""),"",IF(TEXT(L67,"0")=TEXT('Ground-Truth'!$D$3,"0"),1,0))</f>
        <v>1</v>
      </c>
      <c r="R67" s="2">
        <f>IF(OR('Ground-Truth'!$C$4&lt;&gt;"Ja",'Ground-Truth'!$D$4=""),"",IF(TEXT(M67,"0")=TEXT('Ground-Truth'!$D$4,"0"),1,0))</f>
        <v>1</v>
      </c>
      <c r="S67" s="2" t="str">
        <f>IF(OR('Ground-Truth'!$C$5&lt;&gt;"Ja",'Ground-Truth'!$D$5=""),"",IF(TEXT(N67,"0")=TEXT('Ground-Truth'!$D$5,"0"),1,0))</f>
        <v/>
      </c>
      <c r="T67" s="2" t="str">
        <f>IF(OR('Ground-Truth'!$C$6&lt;&gt;"Ja",'Ground-Truth'!$D$6=""),"",IF(TEXT(O67,"0")=TEXT('Ground-Truth'!$D$6,"0"),1,0))</f>
        <v/>
      </c>
      <c r="U67" s="2">
        <f t="shared" si="11"/>
        <v>3</v>
      </c>
      <c r="V67" s="2">
        <f t="shared" si="12"/>
        <v>3</v>
      </c>
      <c r="W67" s="2">
        <f t="shared" si="13"/>
        <v>100</v>
      </c>
      <c r="X67" s="4" t="str">
        <f t="shared" si="14"/>
        <v>gpt-5-chat_C4_Baseline</v>
      </c>
    </row>
    <row r="68" spans="1:24" ht="15" customHeight="1" x14ac:dyDescent="0.25">
      <c r="A68" s="3" t="s">
        <v>40</v>
      </c>
      <c r="B68" s="2" t="s">
        <v>47</v>
      </c>
      <c r="C68" s="2" t="s">
        <v>52</v>
      </c>
      <c r="D68" s="2">
        <v>2</v>
      </c>
      <c r="E68" s="2">
        <v>19.57</v>
      </c>
      <c r="F68" s="2">
        <v>0.15779799999999999</v>
      </c>
      <c r="G68" s="2">
        <v>112054</v>
      </c>
      <c r="H68" s="2">
        <v>1773</v>
      </c>
      <c r="I68" s="2">
        <f t="shared" si="10"/>
        <v>113827</v>
      </c>
      <c r="J68" s="2">
        <v>5</v>
      </c>
      <c r="K68" s="2" t="s">
        <v>8</v>
      </c>
      <c r="L68" s="2" t="s">
        <v>10</v>
      </c>
      <c r="M68" s="2" t="s">
        <v>12</v>
      </c>
      <c r="N68" s="2" t="s">
        <v>12</v>
      </c>
      <c r="O68" s="2" t="s">
        <v>15</v>
      </c>
      <c r="P68" s="2">
        <f>IF(OR('Ground-Truth'!$C$2&lt;&gt;"Ja",'Ground-Truth'!$D$2=""),"",IF(TEXT(K68,"0")=TEXT('Ground-Truth'!$D$2,"0"),1,0))</f>
        <v>1</v>
      </c>
      <c r="Q68" s="2">
        <f>IF(OR('Ground-Truth'!$C$3&lt;&gt;"Ja",'Ground-Truth'!$D$3=""),"",IF(TEXT(L68,"0")=TEXT('Ground-Truth'!$D$3,"0"),1,0))</f>
        <v>1</v>
      </c>
      <c r="R68" s="2">
        <f>IF(OR('Ground-Truth'!$C$4&lt;&gt;"Ja",'Ground-Truth'!$D$4=""),"",IF(TEXT(M68,"0")=TEXT('Ground-Truth'!$D$4,"0"),1,0))</f>
        <v>1</v>
      </c>
      <c r="S68" s="2" t="str">
        <f>IF(OR('Ground-Truth'!$C$5&lt;&gt;"Ja",'Ground-Truth'!$D$5=""),"",IF(TEXT(N68,"0")=TEXT('Ground-Truth'!$D$5,"0"),1,0))</f>
        <v/>
      </c>
      <c r="T68" s="2" t="str">
        <f>IF(OR('Ground-Truth'!$C$6&lt;&gt;"Ja",'Ground-Truth'!$D$6=""),"",IF(TEXT(O68,"0")=TEXT('Ground-Truth'!$D$6,"0"),1,0))</f>
        <v/>
      </c>
      <c r="U68" s="2">
        <f t="shared" si="11"/>
        <v>3</v>
      </c>
      <c r="V68" s="2">
        <f t="shared" si="12"/>
        <v>3</v>
      </c>
      <c r="W68" s="2">
        <f t="shared" si="13"/>
        <v>100</v>
      </c>
      <c r="X68" s="4" t="str">
        <f t="shared" si="14"/>
        <v>gpt-5-chat_C4_Baseline</v>
      </c>
    </row>
    <row r="69" spans="1:24" ht="15" customHeight="1" x14ac:dyDescent="0.25">
      <c r="A69" s="3" t="s">
        <v>40</v>
      </c>
      <c r="B69" s="2" t="s">
        <v>47</v>
      </c>
      <c r="C69" s="2" t="s">
        <v>52</v>
      </c>
      <c r="D69" s="2">
        <v>3</v>
      </c>
      <c r="E69" s="2">
        <v>19.28</v>
      </c>
      <c r="F69" s="2">
        <v>0.15772800000000001</v>
      </c>
      <c r="G69" s="2">
        <v>112054</v>
      </c>
      <c r="H69" s="2">
        <v>1766</v>
      </c>
      <c r="I69" s="2">
        <f t="shared" si="10"/>
        <v>113820</v>
      </c>
      <c r="J69" s="2">
        <v>5</v>
      </c>
      <c r="K69" s="2" t="s">
        <v>8</v>
      </c>
      <c r="L69" s="2" t="s">
        <v>10</v>
      </c>
      <c r="M69" s="2" t="s">
        <v>12</v>
      </c>
      <c r="N69" s="2" t="s">
        <v>12</v>
      </c>
      <c r="O69" s="2" t="s">
        <v>51</v>
      </c>
      <c r="P69" s="2">
        <f>IF(OR('Ground-Truth'!$C$2&lt;&gt;"Ja",'Ground-Truth'!$D$2=""),"",IF(TEXT(K69,"0")=TEXT('Ground-Truth'!$D$2,"0"),1,0))</f>
        <v>1</v>
      </c>
      <c r="Q69" s="2">
        <f>IF(OR('Ground-Truth'!$C$3&lt;&gt;"Ja",'Ground-Truth'!$D$3=""),"",IF(TEXT(L69,"0")=TEXT('Ground-Truth'!$D$3,"0"),1,0))</f>
        <v>1</v>
      </c>
      <c r="R69" s="2">
        <f>IF(OR('Ground-Truth'!$C$4&lt;&gt;"Ja",'Ground-Truth'!$D$4=""),"",IF(TEXT(M69,"0")=TEXT('Ground-Truth'!$D$4,"0"),1,0))</f>
        <v>1</v>
      </c>
      <c r="S69" s="2" t="str">
        <f>IF(OR('Ground-Truth'!$C$5&lt;&gt;"Ja",'Ground-Truth'!$D$5=""),"",IF(TEXT(N69,"0")=TEXT('Ground-Truth'!$D$5,"0"),1,0))</f>
        <v/>
      </c>
      <c r="T69" s="2" t="str">
        <f>IF(OR('Ground-Truth'!$C$6&lt;&gt;"Ja",'Ground-Truth'!$D$6=""),"",IF(TEXT(O69,"0")=TEXT('Ground-Truth'!$D$6,"0"),1,0))</f>
        <v/>
      </c>
      <c r="U69" s="2">
        <f t="shared" si="11"/>
        <v>3</v>
      </c>
      <c r="V69" s="2">
        <f t="shared" si="12"/>
        <v>3</v>
      </c>
      <c r="W69" s="2">
        <f t="shared" si="13"/>
        <v>100</v>
      </c>
      <c r="X69" s="4" t="str">
        <f t="shared" si="14"/>
        <v>gpt-5-chat_C4_Baseline</v>
      </c>
    </row>
    <row r="70" spans="1:24" ht="15" customHeight="1" x14ac:dyDescent="0.25">
      <c r="A70" s="3" t="s">
        <v>40</v>
      </c>
      <c r="B70" s="2" t="s">
        <v>47</v>
      </c>
      <c r="C70" s="2" t="s">
        <v>52</v>
      </c>
      <c r="D70" s="2">
        <v>4</v>
      </c>
      <c r="E70" s="2">
        <v>20.100000000000001</v>
      </c>
      <c r="F70" s="2">
        <v>0.158168</v>
      </c>
      <c r="G70" s="2">
        <v>112054</v>
      </c>
      <c r="H70" s="2">
        <v>1810</v>
      </c>
      <c r="I70" s="2">
        <f t="shared" si="10"/>
        <v>113864</v>
      </c>
      <c r="J70" s="2">
        <v>5</v>
      </c>
      <c r="K70" s="2" t="s">
        <v>8</v>
      </c>
      <c r="L70" s="2" t="s">
        <v>10</v>
      </c>
      <c r="M70" s="2" t="s">
        <v>12</v>
      </c>
      <c r="N70" s="2" t="s">
        <v>12</v>
      </c>
      <c r="O70" s="2" t="s">
        <v>15</v>
      </c>
      <c r="P70" s="2">
        <f>IF(OR('Ground-Truth'!$C$2&lt;&gt;"Ja",'Ground-Truth'!$D$2=""),"",IF(TEXT(K70,"0")=TEXT('Ground-Truth'!$D$2,"0"),1,0))</f>
        <v>1</v>
      </c>
      <c r="Q70" s="2">
        <f>IF(OR('Ground-Truth'!$C$3&lt;&gt;"Ja",'Ground-Truth'!$D$3=""),"",IF(TEXT(L70,"0")=TEXT('Ground-Truth'!$D$3,"0"),1,0))</f>
        <v>1</v>
      </c>
      <c r="R70" s="2">
        <f>IF(OR('Ground-Truth'!$C$4&lt;&gt;"Ja",'Ground-Truth'!$D$4=""),"",IF(TEXT(M70,"0")=TEXT('Ground-Truth'!$D$4,"0"),1,0))</f>
        <v>1</v>
      </c>
      <c r="S70" s="2" t="str">
        <f>IF(OR('Ground-Truth'!$C$5&lt;&gt;"Ja",'Ground-Truth'!$D$5=""),"",IF(TEXT(N70,"0")=TEXT('Ground-Truth'!$D$5,"0"),1,0))</f>
        <v/>
      </c>
      <c r="T70" s="2" t="str">
        <f>IF(OR('Ground-Truth'!$C$6&lt;&gt;"Ja",'Ground-Truth'!$D$6=""),"",IF(TEXT(O70,"0")=TEXT('Ground-Truth'!$D$6,"0"),1,0))</f>
        <v/>
      </c>
      <c r="U70" s="2">
        <f t="shared" si="11"/>
        <v>3</v>
      </c>
      <c r="V70" s="2">
        <f t="shared" si="12"/>
        <v>3</v>
      </c>
      <c r="W70" s="2">
        <f t="shared" si="13"/>
        <v>100</v>
      </c>
      <c r="X70" s="4" t="str">
        <f t="shared" si="14"/>
        <v>gpt-5-chat_C4_Baseline</v>
      </c>
    </row>
    <row r="71" spans="1:24" ht="15" customHeight="1" x14ac:dyDescent="0.25">
      <c r="A71" s="3" t="s">
        <v>40</v>
      </c>
      <c r="B71" s="2" t="s">
        <v>47</v>
      </c>
      <c r="C71" s="2" t="s">
        <v>52</v>
      </c>
      <c r="D71" s="2">
        <v>5</v>
      </c>
      <c r="E71" s="2">
        <v>20.76</v>
      </c>
      <c r="F71" s="2">
        <v>0.15789800000000001</v>
      </c>
      <c r="G71" s="2">
        <v>112054</v>
      </c>
      <c r="H71" s="2">
        <v>1783</v>
      </c>
      <c r="I71" s="2">
        <f t="shared" si="10"/>
        <v>113837</v>
      </c>
      <c r="J71" s="2">
        <v>5</v>
      </c>
      <c r="K71" s="2" t="s">
        <v>8</v>
      </c>
      <c r="L71" s="2" t="s">
        <v>10</v>
      </c>
      <c r="M71" s="2" t="s">
        <v>12</v>
      </c>
      <c r="N71" s="2" t="s">
        <v>12</v>
      </c>
      <c r="O71" s="2" t="s">
        <v>15</v>
      </c>
      <c r="P71" s="2">
        <f>IF(OR('Ground-Truth'!$C$2&lt;&gt;"Ja",'Ground-Truth'!$D$2=""),"",IF(TEXT(K71,"0")=TEXT('Ground-Truth'!$D$2,"0"),1,0))</f>
        <v>1</v>
      </c>
      <c r="Q71" s="2">
        <f>IF(OR('Ground-Truth'!$C$3&lt;&gt;"Ja",'Ground-Truth'!$D$3=""),"",IF(TEXT(L71,"0")=TEXT('Ground-Truth'!$D$3,"0"),1,0))</f>
        <v>1</v>
      </c>
      <c r="R71" s="2">
        <f>IF(OR('Ground-Truth'!$C$4&lt;&gt;"Ja",'Ground-Truth'!$D$4=""),"",IF(TEXT(M71,"0")=TEXT('Ground-Truth'!$D$4,"0"),1,0))</f>
        <v>1</v>
      </c>
      <c r="S71" s="2" t="str">
        <f>IF(OR('Ground-Truth'!$C$5&lt;&gt;"Ja",'Ground-Truth'!$D$5=""),"",IF(TEXT(N71,"0")=TEXT('Ground-Truth'!$D$5,"0"),1,0))</f>
        <v/>
      </c>
      <c r="T71" s="2" t="str">
        <f>IF(OR('Ground-Truth'!$C$6&lt;&gt;"Ja",'Ground-Truth'!$D$6=""),"",IF(TEXT(O71,"0")=TEXT('Ground-Truth'!$D$6,"0"),1,0))</f>
        <v/>
      </c>
      <c r="U71" s="2">
        <f t="shared" si="11"/>
        <v>3</v>
      </c>
      <c r="V71" s="2">
        <f t="shared" si="12"/>
        <v>3</v>
      </c>
      <c r="W71" s="2">
        <f t="shared" si="13"/>
        <v>100</v>
      </c>
      <c r="X71" s="4" t="str">
        <f t="shared" si="14"/>
        <v>gpt-5-chat_C4_Baseline</v>
      </c>
    </row>
    <row r="72" spans="1:24" ht="15" customHeight="1" x14ac:dyDescent="0.25">
      <c r="A72" s="3" t="s">
        <v>40</v>
      </c>
      <c r="B72" s="2" t="s">
        <v>48</v>
      </c>
      <c r="C72" s="2" t="s">
        <v>52</v>
      </c>
      <c r="D72" s="2">
        <v>1</v>
      </c>
      <c r="E72" s="2">
        <v>14.68</v>
      </c>
      <c r="F72" s="2">
        <v>2.1704000000000001E-2</v>
      </c>
      <c r="G72" s="2">
        <v>4419</v>
      </c>
      <c r="H72" s="2">
        <v>1618</v>
      </c>
      <c r="I72" s="2">
        <f t="shared" si="10"/>
        <v>6037</v>
      </c>
      <c r="J72" s="2">
        <v>1</v>
      </c>
      <c r="K72" s="2" t="s">
        <v>43</v>
      </c>
      <c r="L72" s="2" t="s">
        <v>10</v>
      </c>
      <c r="M72" s="2" t="s">
        <v>12</v>
      </c>
      <c r="N72" s="2" t="s">
        <v>12</v>
      </c>
      <c r="O72" s="2" t="s">
        <v>15</v>
      </c>
      <c r="P72" s="2">
        <f>IF(OR('Ground-Truth'!$C$2&lt;&gt;"Ja",'Ground-Truth'!$D$2=""),"",IF(TEXT(K72,"0")=TEXT('Ground-Truth'!$D$2,"0"),1,0))</f>
        <v>0</v>
      </c>
      <c r="Q72" s="2">
        <f>IF(OR('Ground-Truth'!$C$3&lt;&gt;"Ja",'Ground-Truth'!$D$3=""),"",IF(TEXT(L72,"0")=TEXT('Ground-Truth'!$D$3,"0"),1,0))</f>
        <v>1</v>
      </c>
      <c r="R72" s="2">
        <f>IF(OR('Ground-Truth'!$C$4&lt;&gt;"Ja",'Ground-Truth'!$D$4=""),"",IF(TEXT(M72,"0")=TEXT('Ground-Truth'!$D$4,"0"),1,0))</f>
        <v>1</v>
      </c>
      <c r="S72" s="2" t="str">
        <f>IF(OR('Ground-Truth'!$C$5&lt;&gt;"Ja",'Ground-Truth'!$D$5=""),"",IF(TEXT(N72,"0")=TEXT('Ground-Truth'!$D$5,"0"),1,0))</f>
        <v/>
      </c>
      <c r="T72" s="2" t="str">
        <f>IF(OR('Ground-Truth'!$C$6&lt;&gt;"Ja",'Ground-Truth'!$D$6=""),"",IF(TEXT(O72,"0")=TEXT('Ground-Truth'!$D$6,"0"),1,0))</f>
        <v/>
      </c>
      <c r="U72" s="2">
        <f t="shared" si="11"/>
        <v>2</v>
      </c>
      <c r="V72" s="2">
        <f t="shared" si="12"/>
        <v>3</v>
      </c>
      <c r="W72" s="2">
        <f t="shared" si="13"/>
        <v>66.666666666666657</v>
      </c>
      <c r="X72" s="4" t="str">
        <f t="shared" si="14"/>
        <v>gpt-5-chat_C5_BatchFiltered</v>
      </c>
    </row>
    <row r="73" spans="1:24" ht="15" customHeight="1" x14ac:dyDescent="0.25">
      <c r="A73" s="3" t="s">
        <v>40</v>
      </c>
      <c r="B73" s="2" t="s">
        <v>48</v>
      </c>
      <c r="C73" s="2" t="s">
        <v>52</v>
      </c>
      <c r="D73" s="2">
        <v>2</v>
      </c>
      <c r="E73" s="2">
        <v>13.5</v>
      </c>
      <c r="F73" s="2">
        <v>2.2164E-2</v>
      </c>
      <c r="G73" s="2">
        <v>4419</v>
      </c>
      <c r="H73" s="2">
        <v>1664</v>
      </c>
      <c r="I73" s="2">
        <f t="shared" si="10"/>
        <v>6083</v>
      </c>
      <c r="J73" s="2">
        <v>1</v>
      </c>
      <c r="K73" s="2" t="s">
        <v>43</v>
      </c>
      <c r="L73" s="2" t="s">
        <v>10</v>
      </c>
      <c r="M73" s="2" t="s">
        <v>12</v>
      </c>
      <c r="N73" s="2" t="s">
        <v>12</v>
      </c>
      <c r="O73" s="2" t="s">
        <v>15</v>
      </c>
      <c r="P73" s="2">
        <f>IF(OR('Ground-Truth'!$C$2&lt;&gt;"Ja",'Ground-Truth'!$D$2=""),"",IF(TEXT(K73,"0")=TEXT('Ground-Truth'!$D$2,"0"),1,0))</f>
        <v>0</v>
      </c>
      <c r="Q73" s="2">
        <f>IF(OR('Ground-Truth'!$C$3&lt;&gt;"Ja",'Ground-Truth'!$D$3=""),"",IF(TEXT(L73,"0")=TEXT('Ground-Truth'!$D$3,"0"),1,0))</f>
        <v>1</v>
      </c>
      <c r="R73" s="2">
        <f>IF(OR('Ground-Truth'!$C$4&lt;&gt;"Ja",'Ground-Truth'!$D$4=""),"",IF(TEXT(M73,"0")=TEXT('Ground-Truth'!$D$4,"0"),1,0))</f>
        <v>1</v>
      </c>
      <c r="S73" s="2" t="str">
        <f>IF(OR('Ground-Truth'!$C$5&lt;&gt;"Ja",'Ground-Truth'!$D$5=""),"",IF(TEXT(N73,"0")=TEXT('Ground-Truth'!$D$5,"0"),1,0))</f>
        <v/>
      </c>
      <c r="T73" s="2" t="str">
        <f>IF(OR('Ground-Truth'!$C$6&lt;&gt;"Ja",'Ground-Truth'!$D$6=""),"",IF(TEXT(O73,"0")=TEXT('Ground-Truth'!$D$6,"0"),1,0))</f>
        <v/>
      </c>
      <c r="U73" s="2">
        <f t="shared" si="11"/>
        <v>2</v>
      </c>
      <c r="V73" s="2">
        <f t="shared" si="12"/>
        <v>3</v>
      </c>
      <c r="W73" s="2">
        <f t="shared" si="13"/>
        <v>66.666666666666657</v>
      </c>
      <c r="X73" s="4" t="str">
        <f t="shared" si="14"/>
        <v>gpt-5-chat_C5_BatchFiltered</v>
      </c>
    </row>
    <row r="74" spans="1:24" ht="15" customHeight="1" x14ac:dyDescent="0.25">
      <c r="A74" s="3" t="s">
        <v>40</v>
      </c>
      <c r="B74" s="2" t="s">
        <v>48</v>
      </c>
      <c r="C74" s="2" t="s">
        <v>52</v>
      </c>
      <c r="D74" s="2">
        <v>3</v>
      </c>
      <c r="E74" s="2">
        <v>10.53</v>
      </c>
      <c r="F74" s="2">
        <v>1.5284000000000001E-2</v>
      </c>
      <c r="G74" s="2">
        <v>4419</v>
      </c>
      <c r="H74" s="2">
        <v>976</v>
      </c>
      <c r="I74" s="2">
        <f t="shared" si="10"/>
        <v>5395</v>
      </c>
      <c r="J74" s="2">
        <v>1</v>
      </c>
      <c r="K74" s="2" t="s">
        <v>43</v>
      </c>
      <c r="L74" s="2" t="s">
        <v>10</v>
      </c>
      <c r="M74" s="2" t="s">
        <v>12</v>
      </c>
      <c r="N74" s="2" t="s">
        <v>12</v>
      </c>
      <c r="O74" s="2" t="s">
        <v>15</v>
      </c>
      <c r="P74" s="2">
        <f>IF(OR('Ground-Truth'!$C$2&lt;&gt;"Ja",'Ground-Truth'!$D$2=""),"",IF(TEXT(K74,"0")=TEXT('Ground-Truth'!$D$2,"0"),1,0))</f>
        <v>0</v>
      </c>
      <c r="Q74" s="2">
        <f>IF(OR('Ground-Truth'!$C$3&lt;&gt;"Ja",'Ground-Truth'!$D$3=""),"",IF(TEXT(L74,"0")=TEXT('Ground-Truth'!$D$3,"0"),1,0))</f>
        <v>1</v>
      </c>
      <c r="R74" s="2">
        <f>IF(OR('Ground-Truth'!$C$4&lt;&gt;"Ja",'Ground-Truth'!$D$4=""),"",IF(TEXT(M74,"0")=TEXT('Ground-Truth'!$D$4,"0"),1,0))</f>
        <v>1</v>
      </c>
      <c r="S74" s="2" t="str">
        <f>IF(OR('Ground-Truth'!$C$5&lt;&gt;"Ja",'Ground-Truth'!$D$5=""),"",IF(TEXT(N74,"0")=TEXT('Ground-Truth'!$D$5,"0"),1,0))</f>
        <v/>
      </c>
      <c r="T74" s="2" t="str">
        <f>IF(OR('Ground-Truth'!$C$6&lt;&gt;"Ja",'Ground-Truth'!$D$6=""),"",IF(TEXT(O74,"0")=TEXT('Ground-Truth'!$D$6,"0"),1,0))</f>
        <v/>
      </c>
      <c r="U74" s="2">
        <f t="shared" si="11"/>
        <v>2</v>
      </c>
      <c r="V74" s="2">
        <f t="shared" si="12"/>
        <v>3</v>
      </c>
      <c r="W74" s="2">
        <f t="shared" si="13"/>
        <v>66.666666666666657</v>
      </c>
      <c r="X74" s="4" t="str">
        <f t="shared" si="14"/>
        <v>gpt-5-chat_C5_BatchFiltered</v>
      </c>
    </row>
    <row r="75" spans="1:24" ht="15" customHeight="1" x14ac:dyDescent="0.25">
      <c r="A75" s="3" t="s">
        <v>40</v>
      </c>
      <c r="B75" s="2" t="s">
        <v>48</v>
      </c>
      <c r="C75" s="2" t="s">
        <v>52</v>
      </c>
      <c r="D75" s="2">
        <v>4</v>
      </c>
      <c r="E75" s="2">
        <v>14.64</v>
      </c>
      <c r="F75" s="2">
        <v>2.1743999999999999E-2</v>
      </c>
      <c r="G75" s="2">
        <v>4419</v>
      </c>
      <c r="H75" s="2">
        <v>1622</v>
      </c>
      <c r="I75" s="2">
        <f t="shared" si="10"/>
        <v>6041</v>
      </c>
      <c r="J75" s="2">
        <v>1</v>
      </c>
      <c r="K75" s="2" t="s">
        <v>43</v>
      </c>
      <c r="L75" s="2" t="s">
        <v>10</v>
      </c>
      <c r="M75" s="2" t="s">
        <v>12</v>
      </c>
      <c r="N75" s="2" t="s">
        <v>12</v>
      </c>
      <c r="O75" s="2" t="s">
        <v>15</v>
      </c>
      <c r="P75" s="2">
        <f>IF(OR('Ground-Truth'!$C$2&lt;&gt;"Ja",'Ground-Truth'!$D$2=""),"",IF(TEXT(K75,"0")=TEXT('Ground-Truth'!$D$2,"0"),1,0))</f>
        <v>0</v>
      </c>
      <c r="Q75" s="2">
        <f>IF(OR('Ground-Truth'!$C$3&lt;&gt;"Ja",'Ground-Truth'!$D$3=""),"",IF(TEXT(L75,"0")=TEXT('Ground-Truth'!$D$3,"0"),1,0))</f>
        <v>1</v>
      </c>
      <c r="R75" s="2">
        <f>IF(OR('Ground-Truth'!$C$4&lt;&gt;"Ja",'Ground-Truth'!$D$4=""),"",IF(TEXT(M75,"0")=TEXT('Ground-Truth'!$D$4,"0"),1,0))</f>
        <v>1</v>
      </c>
      <c r="S75" s="2" t="str">
        <f>IF(OR('Ground-Truth'!$C$5&lt;&gt;"Ja",'Ground-Truth'!$D$5=""),"",IF(TEXT(N75,"0")=TEXT('Ground-Truth'!$D$5,"0"),1,0))</f>
        <v/>
      </c>
      <c r="T75" s="2" t="str">
        <f>IF(OR('Ground-Truth'!$C$6&lt;&gt;"Ja",'Ground-Truth'!$D$6=""),"",IF(TEXT(O75,"0")=TEXT('Ground-Truth'!$D$6,"0"),1,0))</f>
        <v/>
      </c>
      <c r="U75" s="2">
        <f t="shared" si="11"/>
        <v>2</v>
      </c>
      <c r="V75" s="2">
        <f t="shared" si="12"/>
        <v>3</v>
      </c>
      <c r="W75" s="2">
        <f t="shared" si="13"/>
        <v>66.666666666666657</v>
      </c>
      <c r="X75" s="4" t="str">
        <f t="shared" si="14"/>
        <v>gpt-5-chat_C5_BatchFiltered</v>
      </c>
    </row>
    <row r="76" spans="1:24" ht="15" customHeight="1" x14ac:dyDescent="0.25">
      <c r="A76" s="3" t="s">
        <v>40</v>
      </c>
      <c r="B76" s="2" t="s">
        <v>48</v>
      </c>
      <c r="C76" s="2" t="s">
        <v>52</v>
      </c>
      <c r="D76" s="2">
        <v>5</v>
      </c>
      <c r="E76" s="2">
        <v>14.73</v>
      </c>
      <c r="F76" s="2">
        <v>2.2164E-2</v>
      </c>
      <c r="G76" s="2">
        <v>4419</v>
      </c>
      <c r="H76" s="2">
        <v>1664</v>
      </c>
      <c r="I76" s="2">
        <f t="shared" si="10"/>
        <v>6083</v>
      </c>
      <c r="J76" s="2">
        <v>1</v>
      </c>
      <c r="K76" s="2" t="s">
        <v>43</v>
      </c>
      <c r="L76" s="2" t="s">
        <v>10</v>
      </c>
      <c r="M76" s="2" t="s">
        <v>12</v>
      </c>
      <c r="N76" s="2" t="s">
        <v>12</v>
      </c>
      <c r="O76" s="2" t="s">
        <v>15</v>
      </c>
      <c r="P76" s="2">
        <f>IF(OR('Ground-Truth'!$C$2&lt;&gt;"Ja",'Ground-Truth'!$D$2=""),"",IF(TEXT(K76,"0")=TEXT('Ground-Truth'!$D$2,"0"),1,0))</f>
        <v>0</v>
      </c>
      <c r="Q76" s="2">
        <f>IF(OR('Ground-Truth'!$C$3&lt;&gt;"Ja",'Ground-Truth'!$D$3=""),"",IF(TEXT(L76,"0")=TEXT('Ground-Truth'!$D$3,"0"),1,0))</f>
        <v>1</v>
      </c>
      <c r="R76" s="2">
        <f>IF(OR('Ground-Truth'!$C$4&lt;&gt;"Ja",'Ground-Truth'!$D$4=""),"",IF(TEXT(M76,"0")=TEXT('Ground-Truth'!$D$4,"0"),1,0))</f>
        <v>1</v>
      </c>
      <c r="S76" s="2" t="str">
        <f>IF(OR('Ground-Truth'!$C$5&lt;&gt;"Ja",'Ground-Truth'!$D$5=""),"",IF(TEXT(N76,"0")=TEXT('Ground-Truth'!$D$5,"0"),1,0))</f>
        <v/>
      </c>
      <c r="T76" s="2" t="str">
        <f>IF(OR('Ground-Truth'!$C$6&lt;&gt;"Ja",'Ground-Truth'!$D$6=""),"",IF(TEXT(O76,"0")=TEXT('Ground-Truth'!$D$6,"0"),1,0))</f>
        <v/>
      </c>
      <c r="U76" s="2">
        <f t="shared" si="11"/>
        <v>2</v>
      </c>
      <c r="V76" s="2">
        <f t="shared" si="12"/>
        <v>3</v>
      </c>
      <c r="W76" s="2">
        <f t="shared" si="13"/>
        <v>66.666666666666657</v>
      </c>
      <c r="X76" s="4" t="str">
        <f t="shared" si="14"/>
        <v>gpt-5-chat_C5_BatchFiltered</v>
      </c>
    </row>
    <row r="77" spans="1:24" ht="15" customHeight="1" x14ac:dyDescent="0.25">
      <c r="A77" s="3" t="s">
        <v>40</v>
      </c>
      <c r="B77" s="2" t="s">
        <v>41</v>
      </c>
      <c r="C77" s="2" t="s">
        <v>53</v>
      </c>
      <c r="D77" s="2">
        <v>1</v>
      </c>
      <c r="E77" s="2">
        <v>15.74</v>
      </c>
      <c r="F77" s="2">
        <v>5.3782999999999997E-2</v>
      </c>
      <c r="G77" s="2">
        <v>23013</v>
      </c>
      <c r="H77" s="2">
        <v>965</v>
      </c>
      <c r="I77" s="2">
        <f t="shared" si="10"/>
        <v>23978</v>
      </c>
      <c r="J77" s="2">
        <v>1</v>
      </c>
      <c r="K77" s="2" t="s">
        <v>43</v>
      </c>
      <c r="L77" s="2" t="s">
        <v>10</v>
      </c>
      <c r="M77" s="2" t="s">
        <v>12</v>
      </c>
      <c r="N77" s="2" t="s">
        <v>12</v>
      </c>
      <c r="O77" s="2" t="s">
        <v>15</v>
      </c>
      <c r="P77" s="2">
        <f>IF(OR('Ground-Truth'!$C$2&lt;&gt;"Ja",'Ground-Truth'!$D$2=""),"",IF(TEXT(K77,"0")=TEXT('Ground-Truth'!$D$2,"0"),1,0))</f>
        <v>0</v>
      </c>
      <c r="Q77" s="2">
        <f>IF(OR('Ground-Truth'!$C$3&lt;&gt;"Ja",'Ground-Truth'!$D$3=""),"",IF(TEXT(L77,"0")=TEXT('Ground-Truth'!$D$3,"0"),1,0))</f>
        <v>1</v>
      </c>
      <c r="R77" s="2">
        <f>IF(OR('Ground-Truth'!$C$4&lt;&gt;"Ja",'Ground-Truth'!$D$4=""),"",IF(TEXT(M77,"0")=TEXT('Ground-Truth'!$D$4,"0"),1,0))</f>
        <v>1</v>
      </c>
      <c r="S77" s="2" t="str">
        <f>IF(OR('Ground-Truth'!$C$5&lt;&gt;"Ja",'Ground-Truth'!$D$5=""),"",IF(TEXT(N77,"0")=TEXT('Ground-Truth'!$D$5,"0"),1,0))</f>
        <v/>
      </c>
      <c r="T77" s="2" t="str">
        <f>IF(OR('Ground-Truth'!$C$6&lt;&gt;"Ja",'Ground-Truth'!$D$6=""),"",IF(TEXT(O77,"0")=TEXT('Ground-Truth'!$D$6,"0"),1,0))</f>
        <v/>
      </c>
      <c r="U77" s="2">
        <f t="shared" si="11"/>
        <v>2</v>
      </c>
      <c r="V77" s="2">
        <f t="shared" si="12"/>
        <v>3</v>
      </c>
      <c r="W77" s="2">
        <f t="shared" si="13"/>
        <v>66.666666666666657</v>
      </c>
      <c r="X77" s="4" t="str">
        <f t="shared" si="14"/>
        <v>gpt-5.2-chat_C1_Hybrid</v>
      </c>
    </row>
    <row r="78" spans="1:24" ht="15" customHeight="1" x14ac:dyDescent="0.25">
      <c r="A78" s="3" t="s">
        <v>40</v>
      </c>
      <c r="B78" s="2" t="s">
        <v>41</v>
      </c>
      <c r="C78" s="2" t="s">
        <v>53</v>
      </c>
      <c r="D78" s="2">
        <v>2</v>
      </c>
      <c r="E78" s="2">
        <v>18.649999999999999</v>
      </c>
      <c r="F78" s="2">
        <v>5.3349000000000001E-2</v>
      </c>
      <c r="G78" s="2">
        <v>23013</v>
      </c>
      <c r="H78" s="2">
        <v>934</v>
      </c>
      <c r="I78" s="2">
        <f t="shared" si="10"/>
        <v>23947</v>
      </c>
      <c r="J78" s="2">
        <v>1</v>
      </c>
      <c r="K78" s="2" t="s">
        <v>43</v>
      </c>
      <c r="L78" s="2" t="s">
        <v>10</v>
      </c>
      <c r="M78" s="2" t="s">
        <v>12</v>
      </c>
      <c r="N78" s="2" t="s">
        <v>12</v>
      </c>
      <c r="O78" s="2" t="s">
        <v>51</v>
      </c>
      <c r="P78" s="2">
        <f>IF(OR('Ground-Truth'!$C$2&lt;&gt;"Ja",'Ground-Truth'!$D$2=""),"",IF(TEXT(K78,"0")=TEXT('Ground-Truth'!$D$2,"0"),1,0))</f>
        <v>0</v>
      </c>
      <c r="Q78" s="2">
        <f>IF(OR('Ground-Truth'!$C$3&lt;&gt;"Ja",'Ground-Truth'!$D$3=""),"",IF(TEXT(L78,"0")=TEXT('Ground-Truth'!$D$3,"0"),1,0))</f>
        <v>1</v>
      </c>
      <c r="R78" s="2">
        <f>IF(OR('Ground-Truth'!$C$4&lt;&gt;"Ja",'Ground-Truth'!$D$4=""),"",IF(TEXT(M78,"0")=TEXT('Ground-Truth'!$D$4,"0"),1,0))</f>
        <v>1</v>
      </c>
      <c r="S78" s="2" t="str">
        <f>IF(OR('Ground-Truth'!$C$5&lt;&gt;"Ja",'Ground-Truth'!$D$5=""),"",IF(TEXT(N78,"0")=TEXT('Ground-Truth'!$D$5,"0"),1,0))</f>
        <v/>
      </c>
      <c r="T78" s="2" t="str">
        <f>IF(OR('Ground-Truth'!$C$6&lt;&gt;"Ja",'Ground-Truth'!$D$6=""),"",IF(TEXT(O78,"0")=TEXT('Ground-Truth'!$D$6,"0"),1,0))</f>
        <v/>
      </c>
      <c r="U78" s="2">
        <f t="shared" si="11"/>
        <v>2</v>
      </c>
      <c r="V78" s="2">
        <f t="shared" si="12"/>
        <v>3</v>
      </c>
      <c r="W78" s="2">
        <f t="shared" si="13"/>
        <v>66.666666666666657</v>
      </c>
      <c r="X78" s="4" t="str">
        <f t="shared" si="14"/>
        <v>gpt-5.2-chat_C1_Hybrid</v>
      </c>
    </row>
    <row r="79" spans="1:24" ht="15" customHeight="1" x14ac:dyDescent="0.25">
      <c r="A79" s="3" t="s">
        <v>40</v>
      </c>
      <c r="B79" s="2" t="s">
        <v>41</v>
      </c>
      <c r="C79" s="2" t="s">
        <v>53</v>
      </c>
      <c r="D79" s="2">
        <v>3</v>
      </c>
      <c r="E79" s="2">
        <v>16.59</v>
      </c>
      <c r="F79" s="2">
        <v>5.3615000000000003E-2</v>
      </c>
      <c r="G79" s="2">
        <v>23013</v>
      </c>
      <c r="H79" s="2">
        <v>953</v>
      </c>
      <c r="I79" s="2">
        <f t="shared" si="10"/>
        <v>23966</v>
      </c>
      <c r="J79" s="2">
        <v>1</v>
      </c>
      <c r="K79" s="2" t="s">
        <v>43</v>
      </c>
      <c r="L79" s="2" t="s">
        <v>10</v>
      </c>
      <c r="M79" s="2" t="s">
        <v>12</v>
      </c>
      <c r="N79" s="2" t="s">
        <v>12</v>
      </c>
      <c r="O79" s="2" t="s">
        <v>15</v>
      </c>
      <c r="P79" s="2">
        <f>IF(OR('Ground-Truth'!$C$2&lt;&gt;"Ja",'Ground-Truth'!$D$2=""),"",IF(TEXT(K79,"0")=TEXT('Ground-Truth'!$D$2,"0"),1,0))</f>
        <v>0</v>
      </c>
      <c r="Q79" s="2">
        <f>IF(OR('Ground-Truth'!$C$3&lt;&gt;"Ja",'Ground-Truth'!$D$3=""),"",IF(TEXT(L79,"0")=TEXT('Ground-Truth'!$D$3,"0"),1,0))</f>
        <v>1</v>
      </c>
      <c r="R79" s="2">
        <f>IF(OR('Ground-Truth'!$C$4&lt;&gt;"Ja",'Ground-Truth'!$D$4=""),"",IF(TEXT(M79,"0")=TEXT('Ground-Truth'!$D$4,"0"),1,0))</f>
        <v>1</v>
      </c>
      <c r="S79" s="2" t="str">
        <f>IF(OR('Ground-Truth'!$C$5&lt;&gt;"Ja",'Ground-Truth'!$D$5=""),"",IF(TEXT(N79,"0")=TEXT('Ground-Truth'!$D$5,"0"),1,0))</f>
        <v/>
      </c>
      <c r="T79" s="2" t="str">
        <f>IF(OR('Ground-Truth'!$C$6&lt;&gt;"Ja",'Ground-Truth'!$D$6=""),"",IF(TEXT(O79,"0")=TEXT('Ground-Truth'!$D$6,"0"),1,0))</f>
        <v/>
      </c>
      <c r="U79" s="2">
        <f t="shared" si="11"/>
        <v>2</v>
      </c>
      <c r="V79" s="2">
        <f t="shared" si="12"/>
        <v>3</v>
      </c>
      <c r="W79" s="2">
        <f t="shared" si="13"/>
        <v>66.666666666666657</v>
      </c>
      <c r="X79" s="4" t="str">
        <f t="shared" si="14"/>
        <v>gpt-5.2-chat_C1_Hybrid</v>
      </c>
    </row>
    <row r="80" spans="1:24" ht="15" customHeight="1" x14ac:dyDescent="0.25">
      <c r="A80" s="3" t="s">
        <v>40</v>
      </c>
      <c r="B80" s="2" t="s">
        <v>41</v>
      </c>
      <c r="C80" s="2" t="s">
        <v>53</v>
      </c>
      <c r="D80" s="2">
        <v>4</v>
      </c>
      <c r="E80" s="2">
        <v>14.81</v>
      </c>
      <c r="F80" s="2">
        <v>5.2242999999999998E-2</v>
      </c>
      <c r="G80" s="2">
        <v>23013</v>
      </c>
      <c r="H80" s="2">
        <v>855</v>
      </c>
      <c r="I80" s="2">
        <f t="shared" si="10"/>
        <v>23868</v>
      </c>
      <c r="J80" s="2">
        <v>1</v>
      </c>
      <c r="K80" s="2" t="s">
        <v>43</v>
      </c>
      <c r="L80" s="2" t="s">
        <v>10</v>
      </c>
      <c r="M80" s="2" t="s">
        <v>12</v>
      </c>
      <c r="N80" s="2" t="s">
        <v>12</v>
      </c>
      <c r="O80" s="2" t="s">
        <v>51</v>
      </c>
      <c r="P80" s="2">
        <f>IF(OR('Ground-Truth'!$C$2&lt;&gt;"Ja",'Ground-Truth'!$D$2=""),"",IF(TEXT(K80,"0")=TEXT('Ground-Truth'!$D$2,"0"),1,0))</f>
        <v>0</v>
      </c>
      <c r="Q80" s="2">
        <f>IF(OR('Ground-Truth'!$C$3&lt;&gt;"Ja",'Ground-Truth'!$D$3=""),"",IF(TEXT(L80,"0")=TEXT('Ground-Truth'!$D$3,"0"),1,0))</f>
        <v>1</v>
      </c>
      <c r="R80" s="2">
        <f>IF(OR('Ground-Truth'!$C$4&lt;&gt;"Ja",'Ground-Truth'!$D$4=""),"",IF(TEXT(M80,"0")=TEXT('Ground-Truth'!$D$4,"0"),1,0))</f>
        <v>1</v>
      </c>
      <c r="S80" s="2" t="str">
        <f>IF(OR('Ground-Truth'!$C$5&lt;&gt;"Ja",'Ground-Truth'!$D$5=""),"",IF(TEXT(N80,"0")=TEXT('Ground-Truth'!$D$5,"0"),1,0))</f>
        <v/>
      </c>
      <c r="T80" s="2" t="str">
        <f>IF(OR('Ground-Truth'!$C$6&lt;&gt;"Ja",'Ground-Truth'!$D$6=""),"",IF(TEXT(O80,"0")=TEXT('Ground-Truth'!$D$6,"0"),1,0))</f>
        <v/>
      </c>
      <c r="U80" s="2">
        <f t="shared" si="11"/>
        <v>2</v>
      </c>
      <c r="V80" s="2">
        <f t="shared" si="12"/>
        <v>3</v>
      </c>
      <c r="W80" s="2">
        <f t="shared" si="13"/>
        <v>66.666666666666657</v>
      </c>
      <c r="X80" s="4" t="str">
        <f t="shared" si="14"/>
        <v>gpt-5.2-chat_C1_Hybrid</v>
      </c>
    </row>
    <row r="81" spans="1:24" ht="15" customHeight="1" x14ac:dyDescent="0.25">
      <c r="A81" s="3" t="s">
        <v>40</v>
      </c>
      <c r="B81" s="2" t="s">
        <v>41</v>
      </c>
      <c r="C81" s="2" t="s">
        <v>53</v>
      </c>
      <c r="D81" s="2">
        <v>5</v>
      </c>
      <c r="E81" s="2">
        <v>19.89</v>
      </c>
      <c r="F81" s="2">
        <v>5.7605000000000003E-2</v>
      </c>
      <c r="G81" s="2">
        <v>23013</v>
      </c>
      <c r="H81" s="2">
        <v>1238</v>
      </c>
      <c r="I81" s="2">
        <f t="shared" si="10"/>
        <v>24251</v>
      </c>
      <c r="J81" s="2">
        <v>1</v>
      </c>
      <c r="K81" s="2" t="s">
        <v>43</v>
      </c>
      <c r="L81" s="2" t="s">
        <v>10</v>
      </c>
      <c r="M81" s="2" t="s">
        <v>12</v>
      </c>
      <c r="N81" s="2" t="s">
        <v>12</v>
      </c>
      <c r="O81" s="2" t="s">
        <v>51</v>
      </c>
      <c r="P81" s="2">
        <f>IF(OR('Ground-Truth'!$C$2&lt;&gt;"Ja",'Ground-Truth'!$D$2=""),"",IF(TEXT(K81,"0")=TEXT('Ground-Truth'!$D$2,"0"),1,0))</f>
        <v>0</v>
      </c>
      <c r="Q81" s="2">
        <f>IF(OR('Ground-Truth'!$C$3&lt;&gt;"Ja",'Ground-Truth'!$D$3=""),"",IF(TEXT(L81,"0")=TEXT('Ground-Truth'!$D$3,"0"),1,0))</f>
        <v>1</v>
      </c>
      <c r="R81" s="2">
        <f>IF(OR('Ground-Truth'!$C$4&lt;&gt;"Ja",'Ground-Truth'!$D$4=""),"",IF(TEXT(M81,"0")=TEXT('Ground-Truth'!$D$4,"0"),1,0))</f>
        <v>1</v>
      </c>
      <c r="S81" s="2" t="str">
        <f>IF(OR('Ground-Truth'!$C$5&lt;&gt;"Ja",'Ground-Truth'!$D$5=""),"",IF(TEXT(N81,"0")=TEXT('Ground-Truth'!$D$5,"0"),1,0))</f>
        <v/>
      </c>
      <c r="T81" s="2" t="str">
        <f>IF(OR('Ground-Truth'!$C$6&lt;&gt;"Ja",'Ground-Truth'!$D$6=""),"",IF(TEXT(O81,"0")=TEXT('Ground-Truth'!$D$6,"0"),1,0))</f>
        <v/>
      </c>
      <c r="U81" s="2">
        <f t="shared" si="11"/>
        <v>2</v>
      </c>
      <c r="V81" s="2">
        <f t="shared" si="12"/>
        <v>3</v>
      </c>
      <c r="W81" s="2">
        <f t="shared" si="13"/>
        <v>66.666666666666657</v>
      </c>
      <c r="X81" s="4" t="str">
        <f t="shared" si="14"/>
        <v>gpt-5.2-chat_C1_Hybrid</v>
      </c>
    </row>
    <row r="82" spans="1:24" ht="15" customHeight="1" x14ac:dyDescent="0.25">
      <c r="A82" s="3" t="s">
        <v>40</v>
      </c>
      <c r="B82" s="2" t="s">
        <v>44</v>
      </c>
      <c r="C82" s="2" t="s">
        <v>53</v>
      </c>
      <c r="D82" s="2">
        <v>1</v>
      </c>
      <c r="E82" s="2">
        <v>47.49</v>
      </c>
      <c r="F82" s="2">
        <v>4.3222999999999998E-2</v>
      </c>
      <c r="G82" s="2">
        <v>6571</v>
      </c>
      <c r="H82" s="2">
        <v>2266</v>
      </c>
      <c r="I82" s="2">
        <f t="shared" si="10"/>
        <v>8837</v>
      </c>
      <c r="J82" s="2">
        <v>5</v>
      </c>
      <c r="K82" s="2" t="s">
        <v>43</v>
      </c>
      <c r="L82" s="2" t="s">
        <v>10</v>
      </c>
      <c r="M82" s="2" t="s">
        <v>12</v>
      </c>
      <c r="N82" s="2" t="s">
        <v>12</v>
      </c>
      <c r="O82" s="2" t="s">
        <v>51</v>
      </c>
      <c r="P82" s="2">
        <f>IF(OR('Ground-Truth'!$C$2&lt;&gt;"Ja",'Ground-Truth'!$D$2=""),"",IF(TEXT(K82,"0")=TEXT('Ground-Truth'!$D$2,"0"),1,0))</f>
        <v>0</v>
      </c>
      <c r="Q82" s="2">
        <f>IF(OR('Ground-Truth'!$C$3&lt;&gt;"Ja",'Ground-Truth'!$D$3=""),"",IF(TEXT(L82,"0")=TEXT('Ground-Truth'!$D$3,"0"),1,0))</f>
        <v>1</v>
      </c>
      <c r="R82" s="2">
        <f>IF(OR('Ground-Truth'!$C$4&lt;&gt;"Ja",'Ground-Truth'!$D$4=""),"",IF(TEXT(M82,"0")=TEXT('Ground-Truth'!$D$4,"0"),1,0))</f>
        <v>1</v>
      </c>
      <c r="S82" s="2" t="str">
        <f>IF(OR('Ground-Truth'!$C$5&lt;&gt;"Ja",'Ground-Truth'!$D$5=""),"",IF(TEXT(N82,"0")=TEXT('Ground-Truth'!$D$5,"0"),1,0))</f>
        <v/>
      </c>
      <c r="T82" s="2" t="str">
        <f>IF(OR('Ground-Truth'!$C$6&lt;&gt;"Ja",'Ground-Truth'!$D$6=""),"",IF(TEXT(O82,"0")=TEXT('Ground-Truth'!$D$6,"0"),1,0))</f>
        <v/>
      </c>
      <c r="U82" s="2">
        <f t="shared" si="11"/>
        <v>2</v>
      </c>
      <c r="V82" s="2">
        <f t="shared" si="12"/>
        <v>3</v>
      </c>
      <c r="W82" s="2">
        <f t="shared" si="13"/>
        <v>66.666666666666657</v>
      </c>
      <c r="X82" s="4" t="str">
        <f t="shared" si="14"/>
        <v>gpt-5.2-chat_C2_Precision</v>
      </c>
    </row>
    <row r="83" spans="1:24" ht="15" customHeight="1" x14ac:dyDescent="0.25">
      <c r="A83" s="3" t="s">
        <v>40</v>
      </c>
      <c r="B83" s="2" t="s">
        <v>44</v>
      </c>
      <c r="C83" s="2" t="s">
        <v>53</v>
      </c>
      <c r="D83" s="2">
        <v>2</v>
      </c>
      <c r="E83" s="2">
        <v>44.43</v>
      </c>
      <c r="F83" s="2">
        <v>4.1095E-2</v>
      </c>
      <c r="G83" s="2">
        <v>6571</v>
      </c>
      <c r="H83" s="2">
        <v>2114</v>
      </c>
      <c r="I83" s="2">
        <f t="shared" si="10"/>
        <v>8685</v>
      </c>
      <c r="J83" s="2">
        <v>5</v>
      </c>
      <c r="K83" s="2" t="s">
        <v>8</v>
      </c>
      <c r="L83" s="2" t="s">
        <v>10</v>
      </c>
      <c r="M83" s="2" t="s">
        <v>12</v>
      </c>
      <c r="N83" s="2" t="s">
        <v>12</v>
      </c>
      <c r="O83" s="2" t="s">
        <v>51</v>
      </c>
      <c r="P83" s="2">
        <f>IF(OR('Ground-Truth'!$C$2&lt;&gt;"Ja",'Ground-Truth'!$D$2=""),"",IF(TEXT(K83,"0")=TEXT('Ground-Truth'!$D$2,"0"),1,0))</f>
        <v>1</v>
      </c>
      <c r="Q83" s="2">
        <f>IF(OR('Ground-Truth'!$C$3&lt;&gt;"Ja",'Ground-Truth'!$D$3=""),"",IF(TEXT(L83,"0")=TEXT('Ground-Truth'!$D$3,"0"),1,0))</f>
        <v>1</v>
      </c>
      <c r="R83" s="2">
        <f>IF(OR('Ground-Truth'!$C$4&lt;&gt;"Ja",'Ground-Truth'!$D$4=""),"",IF(TEXT(M83,"0")=TEXT('Ground-Truth'!$D$4,"0"),1,0))</f>
        <v>1</v>
      </c>
      <c r="S83" s="2" t="str">
        <f>IF(OR('Ground-Truth'!$C$5&lt;&gt;"Ja",'Ground-Truth'!$D$5=""),"",IF(TEXT(N83,"0")=TEXT('Ground-Truth'!$D$5,"0"),1,0))</f>
        <v/>
      </c>
      <c r="T83" s="2" t="str">
        <f>IF(OR('Ground-Truth'!$C$6&lt;&gt;"Ja",'Ground-Truth'!$D$6=""),"",IF(TEXT(O83,"0")=TEXT('Ground-Truth'!$D$6,"0"),1,0))</f>
        <v/>
      </c>
      <c r="U83" s="2">
        <f t="shared" si="11"/>
        <v>3</v>
      </c>
      <c r="V83" s="2">
        <f t="shared" si="12"/>
        <v>3</v>
      </c>
      <c r="W83" s="2">
        <f t="shared" si="13"/>
        <v>100</v>
      </c>
      <c r="X83" s="4" t="str">
        <f t="shared" si="14"/>
        <v>gpt-5.2-chat_C2_Precision</v>
      </c>
    </row>
    <row r="84" spans="1:24" ht="15" customHeight="1" x14ac:dyDescent="0.25">
      <c r="A84" s="3" t="s">
        <v>40</v>
      </c>
      <c r="B84" s="2" t="s">
        <v>44</v>
      </c>
      <c r="C84" s="2" t="s">
        <v>53</v>
      </c>
      <c r="D84" s="2">
        <v>3</v>
      </c>
      <c r="E84" s="2">
        <v>44.07</v>
      </c>
      <c r="F84" s="2">
        <v>4.3194999999999997E-2</v>
      </c>
      <c r="G84" s="2">
        <v>6571</v>
      </c>
      <c r="H84" s="2">
        <v>2264</v>
      </c>
      <c r="I84" s="2">
        <f t="shared" si="10"/>
        <v>8835</v>
      </c>
      <c r="J84" s="2">
        <v>5</v>
      </c>
      <c r="K84" s="2" t="s">
        <v>8</v>
      </c>
      <c r="L84" s="2" t="s">
        <v>10</v>
      </c>
      <c r="M84" s="2" t="s">
        <v>12</v>
      </c>
      <c r="N84" s="2" t="s">
        <v>12</v>
      </c>
      <c r="O84" s="2" t="s">
        <v>51</v>
      </c>
      <c r="P84" s="2">
        <f>IF(OR('Ground-Truth'!$C$2&lt;&gt;"Ja",'Ground-Truth'!$D$2=""),"",IF(TEXT(K84,"0")=TEXT('Ground-Truth'!$D$2,"0"),1,0))</f>
        <v>1</v>
      </c>
      <c r="Q84" s="2">
        <f>IF(OR('Ground-Truth'!$C$3&lt;&gt;"Ja",'Ground-Truth'!$D$3=""),"",IF(TEXT(L84,"0")=TEXT('Ground-Truth'!$D$3,"0"),1,0))</f>
        <v>1</v>
      </c>
      <c r="R84" s="2">
        <f>IF(OR('Ground-Truth'!$C$4&lt;&gt;"Ja",'Ground-Truth'!$D$4=""),"",IF(TEXT(M84,"0")=TEXT('Ground-Truth'!$D$4,"0"),1,0))</f>
        <v>1</v>
      </c>
      <c r="S84" s="2" t="str">
        <f>IF(OR('Ground-Truth'!$C$5&lt;&gt;"Ja",'Ground-Truth'!$D$5=""),"",IF(TEXT(N84,"0")=TEXT('Ground-Truth'!$D$5,"0"),1,0))</f>
        <v/>
      </c>
      <c r="T84" s="2" t="str">
        <f>IF(OR('Ground-Truth'!$C$6&lt;&gt;"Ja",'Ground-Truth'!$D$6=""),"",IF(TEXT(O84,"0")=TEXT('Ground-Truth'!$D$6,"0"),1,0))</f>
        <v/>
      </c>
      <c r="U84" s="2">
        <f t="shared" si="11"/>
        <v>3</v>
      </c>
      <c r="V84" s="2">
        <f t="shared" si="12"/>
        <v>3</v>
      </c>
      <c r="W84" s="2">
        <f t="shared" si="13"/>
        <v>100</v>
      </c>
      <c r="X84" s="4" t="str">
        <f t="shared" si="14"/>
        <v>gpt-5.2-chat_C2_Precision</v>
      </c>
    </row>
    <row r="85" spans="1:24" ht="15" customHeight="1" x14ac:dyDescent="0.25">
      <c r="A85" s="3" t="s">
        <v>40</v>
      </c>
      <c r="B85" s="2" t="s">
        <v>44</v>
      </c>
      <c r="C85" s="2" t="s">
        <v>53</v>
      </c>
      <c r="D85" s="2">
        <v>4</v>
      </c>
      <c r="E85" s="2">
        <v>48.49</v>
      </c>
      <c r="F85" s="2">
        <v>4.7549000000000001E-2</v>
      </c>
      <c r="G85" s="2">
        <v>6571</v>
      </c>
      <c r="H85" s="2">
        <v>2575</v>
      </c>
      <c r="I85" s="2">
        <f t="shared" si="10"/>
        <v>9146</v>
      </c>
      <c r="J85" s="2">
        <v>5</v>
      </c>
      <c r="K85" s="2" t="s">
        <v>8</v>
      </c>
      <c r="L85" s="2" t="s">
        <v>10</v>
      </c>
      <c r="M85" s="2" t="s">
        <v>12</v>
      </c>
      <c r="N85" s="2" t="s">
        <v>12</v>
      </c>
      <c r="O85" s="2" t="s">
        <v>51</v>
      </c>
      <c r="P85" s="2">
        <f>IF(OR('Ground-Truth'!$C$2&lt;&gt;"Ja",'Ground-Truth'!$D$2=""),"",IF(TEXT(K85,"0")=TEXT('Ground-Truth'!$D$2,"0"),1,0))</f>
        <v>1</v>
      </c>
      <c r="Q85" s="2">
        <f>IF(OR('Ground-Truth'!$C$3&lt;&gt;"Ja",'Ground-Truth'!$D$3=""),"",IF(TEXT(L85,"0")=TEXT('Ground-Truth'!$D$3,"0"),1,0))</f>
        <v>1</v>
      </c>
      <c r="R85" s="2">
        <f>IF(OR('Ground-Truth'!$C$4&lt;&gt;"Ja",'Ground-Truth'!$D$4=""),"",IF(TEXT(M85,"0")=TEXT('Ground-Truth'!$D$4,"0"),1,0))</f>
        <v>1</v>
      </c>
      <c r="S85" s="2" t="str">
        <f>IF(OR('Ground-Truth'!$C$5&lt;&gt;"Ja",'Ground-Truth'!$D$5=""),"",IF(TEXT(N85,"0")=TEXT('Ground-Truth'!$D$5,"0"),1,0))</f>
        <v/>
      </c>
      <c r="T85" s="2" t="str">
        <f>IF(OR('Ground-Truth'!$C$6&lt;&gt;"Ja",'Ground-Truth'!$D$6=""),"",IF(TEXT(O85,"0")=TEXT('Ground-Truth'!$D$6,"0"),1,0))</f>
        <v/>
      </c>
      <c r="U85" s="2">
        <f t="shared" si="11"/>
        <v>3</v>
      </c>
      <c r="V85" s="2">
        <f t="shared" si="12"/>
        <v>3</v>
      </c>
      <c r="W85" s="2">
        <f t="shared" si="13"/>
        <v>100</v>
      </c>
      <c r="X85" s="4" t="str">
        <f t="shared" si="14"/>
        <v>gpt-5.2-chat_C2_Precision</v>
      </c>
    </row>
    <row r="86" spans="1:24" ht="15" customHeight="1" x14ac:dyDescent="0.25">
      <c r="A86" s="3" t="s">
        <v>40</v>
      </c>
      <c r="B86" s="2" t="s">
        <v>44</v>
      </c>
      <c r="C86" s="2" t="s">
        <v>53</v>
      </c>
      <c r="D86" s="2">
        <v>5</v>
      </c>
      <c r="E86" s="2">
        <v>45.19</v>
      </c>
      <c r="F86" s="2">
        <v>4.3432999999999999E-2</v>
      </c>
      <c r="G86" s="2">
        <v>6571</v>
      </c>
      <c r="H86" s="2">
        <v>2281</v>
      </c>
      <c r="I86" s="2">
        <f t="shared" si="10"/>
        <v>8852</v>
      </c>
      <c r="J86" s="2">
        <v>5</v>
      </c>
      <c r="K86" s="2" t="s">
        <v>8</v>
      </c>
      <c r="L86" s="2" t="s">
        <v>10</v>
      </c>
      <c r="M86" s="2" t="s">
        <v>12</v>
      </c>
      <c r="N86" s="2" t="s">
        <v>12</v>
      </c>
      <c r="O86" s="2" t="s">
        <v>51</v>
      </c>
      <c r="P86" s="2">
        <f>IF(OR('Ground-Truth'!$C$2&lt;&gt;"Ja",'Ground-Truth'!$D$2=""),"",IF(TEXT(K86,"0")=TEXT('Ground-Truth'!$D$2,"0"),1,0))</f>
        <v>1</v>
      </c>
      <c r="Q86" s="2">
        <f>IF(OR('Ground-Truth'!$C$3&lt;&gt;"Ja",'Ground-Truth'!$D$3=""),"",IF(TEXT(L86,"0")=TEXT('Ground-Truth'!$D$3,"0"),1,0))</f>
        <v>1</v>
      </c>
      <c r="R86" s="2">
        <f>IF(OR('Ground-Truth'!$C$4&lt;&gt;"Ja",'Ground-Truth'!$D$4=""),"",IF(TEXT(M86,"0")=TEXT('Ground-Truth'!$D$4,"0"),1,0))</f>
        <v>1</v>
      </c>
      <c r="S86" s="2" t="str">
        <f>IF(OR('Ground-Truth'!$C$5&lt;&gt;"Ja",'Ground-Truth'!$D$5=""),"",IF(TEXT(N86,"0")=TEXT('Ground-Truth'!$D$5,"0"),1,0))</f>
        <v/>
      </c>
      <c r="T86" s="2" t="str">
        <f>IF(OR('Ground-Truth'!$C$6&lt;&gt;"Ja",'Ground-Truth'!$D$6=""),"",IF(TEXT(O86,"0")=TEXT('Ground-Truth'!$D$6,"0"),1,0))</f>
        <v/>
      </c>
      <c r="U86" s="2">
        <f t="shared" si="11"/>
        <v>3</v>
      </c>
      <c r="V86" s="2">
        <f t="shared" si="12"/>
        <v>3</v>
      </c>
      <c r="W86" s="2">
        <f t="shared" si="13"/>
        <v>100</v>
      </c>
      <c r="X86" s="4" t="str">
        <f t="shared" si="14"/>
        <v>gpt-5.2-chat_C2_Precision</v>
      </c>
    </row>
    <row r="87" spans="1:24" ht="15" customHeight="1" x14ac:dyDescent="0.25">
      <c r="A87" s="3" t="s">
        <v>40</v>
      </c>
      <c r="B87" s="2" t="s">
        <v>46</v>
      </c>
      <c r="C87" s="2" t="s">
        <v>53</v>
      </c>
      <c r="D87" s="2">
        <v>1</v>
      </c>
      <c r="E87" s="2">
        <v>39.130000000000003</v>
      </c>
      <c r="F87" s="2">
        <v>0.21812200000000001</v>
      </c>
      <c r="G87" s="2">
        <v>112049</v>
      </c>
      <c r="H87" s="2">
        <v>1574</v>
      </c>
      <c r="I87" s="2">
        <f t="shared" si="10"/>
        <v>113623</v>
      </c>
      <c r="J87" s="2">
        <v>5</v>
      </c>
      <c r="K87" s="2" t="s">
        <v>43</v>
      </c>
      <c r="L87" s="2" t="s">
        <v>10</v>
      </c>
      <c r="M87" s="2" t="s">
        <v>12</v>
      </c>
      <c r="N87" s="2" t="s">
        <v>12</v>
      </c>
      <c r="O87" s="2" t="s">
        <v>51</v>
      </c>
      <c r="P87" s="2">
        <f>IF(OR('Ground-Truth'!$C$2&lt;&gt;"Ja",'Ground-Truth'!$D$2=""),"",IF(TEXT(K87,"0")=TEXT('Ground-Truth'!$D$2,"0"),1,0))</f>
        <v>0</v>
      </c>
      <c r="Q87" s="2">
        <f>IF(OR('Ground-Truth'!$C$3&lt;&gt;"Ja",'Ground-Truth'!$D$3=""),"",IF(TEXT(L87,"0")=TEXT('Ground-Truth'!$D$3,"0"),1,0))</f>
        <v>1</v>
      </c>
      <c r="R87" s="2">
        <f>IF(OR('Ground-Truth'!$C$4&lt;&gt;"Ja",'Ground-Truth'!$D$4=""),"",IF(TEXT(M87,"0")=TEXT('Ground-Truth'!$D$4,"0"),1,0))</f>
        <v>1</v>
      </c>
      <c r="S87" s="2" t="str">
        <f>IF(OR('Ground-Truth'!$C$5&lt;&gt;"Ja",'Ground-Truth'!$D$5=""),"",IF(TEXT(N87,"0")=TEXT('Ground-Truth'!$D$5,"0"),1,0))</f>
        <v/>
      </c>
      <c r="T87" s="2" t="str">
        <f>IF(OR('Ground-Truth'!$C$6&lt;&gt;"Ja",'Ground-Truth'!$D$6=""),"",IF(TEXT(O87,"0")=TEXT('Ground-Truth'!$D$6,"0"),1,0))</f>
        <v/>
      </c>
      <c r="U87" s="2">
        <f t="shared" si="11"/>
        <v>2</v>
      </c>
      <c r="V87" s="2">
        <f t="shared" si="12"/>
        <v>3</v>
      </c>
      <c r="W87" s="2">
        <f t="shared" si="13"/>
        <v>66.666666666666657</v>
      </c>
      <c r="X87" s="4" t="str">
        <f t="shared" si="14"/>
        <v>gpt-5.2-chat_C3_Single</v>
      </c>
    </row>
    <row r="88" spans="1:24" ht="15" customHeight="1" x14ac:dyDescent="0.25">
      <c r="A88" s="3" t="s">
        <v>40</v>
      </c>
      <c r="B88" s="2" t="s">
        <v>46</v>
      </c>
      <c r="C88" s="2" t="s">
        <v>53</v>
      </c>
      <c r="D88" s="2">
        <v>2</v>
      </c>
      <c r="E88" s="2">
        <v>43.03</v>
      </c>
      <c r="F88" s="2">
        <v>0.220026</v>
      </c>
      <c r="G88" s="2">
        <v>112049</v>
      </c>
      <c r="H88" s="2">
        <v>1710</v>
      </c>
      <c r="I88" s="2">
        <f t="shared" si="10"/>
        <v>113759</v>
      </c>
      <c r="J88" s="2">
        <v>5</v>
      </c>
      <c r="K88" s="2" t="s">
        <v>43</v>
      </c>
      <c r="L88" s="2" t="s">
        <v>10</v>
      </c>
      <c r="M88" s="2" t="s">
        <v>12</v>
      </c>
      <c r="N88" s="2" t="s">
        <v>12</v>
      </c>
      <c r="O88" s="2" t="s">
        <v>51</v>
      </c>
      <c r="P88" s="2">
        <f>IF(OR('Ground-Truth'!$C$2&lt;&gt;"Ja",'Ground-Truth'!$D$2=""),"",IF(TEXT(K88,"0")=TEXT('Ground-Truth'!$D$2,"0"),1,0))</f>
        <v>0</v>
      </c>
      <c r="Q88" s="2">
        <f>IF(OR('Ground-Truth'!$C$3&lt;&gt;"Ja",'Ground-Truth'!$D$3=""),"",IF(TEXT(L88,"0")=TEXT('Ground-Truth'!$D$3,"0"),1,0))</f>
        <v>1</v>
      </c>
      <c r="R88" s="2">
        <f>IF(OR('Ground-Truth'!$C$4&lt;&gt;"Ja",'Ground-Truth'!$D$4=""),"",IF(TEXT(M88,"0")=TEXT('Ground-Truth'!$D$4,"0"),1,0))</f>
        <v>1</v>
      </c>
      <c r="S88" s="2" t="str">
        <f>IF(OR('Ground-Truth'!$C$5&lt;&gt;"Ja",'Ground-Truth'!$D$5=""),"",IF(TEXT(N88,"0")=TEXT('Ground-Truth'!$D$5,"0"),1,0))</f>
        <v/>
      </c>
      <c r="T88" s="2" t="str">
        <f>IF(OR('Ground-Truth'!$C$6&lt;&gt;"Ja",'Ground-Truth'!$D$6=""),"",IF(TEXT(O88,"0")=TEXT('Ground-Truth'!$D$6,"0"),1,0))</f>
        <v/>
      </c>
      <c r="U88" s="2">
        <f t="shared" si="11"/>
        <v>2</v>
      </c>
      <c r="V88" s="2">
        <f t="shared" si="12"/>
        <v>3</v>
      </c>
      <c r="W88" s="2">
        <f t="shared" si="13"/>
        <v>66.666666666666657</v>
      </c>
      <c r="X88" s="4" t="str">
        <f t="shared" si="14"/>
        <v>gpt-5.2-chat_C3_Single</v>
      </c>
    </row>
    <row r="89" spans="1:24" ht="15" customHeight="1" x14ac:dyDescent="0.25">
      <c r="A89" s="3" t="s">
        <v>40</v>
      </c>
      <c r="B89" s="2" t="s">
        <v>46</v>
      </c>
      <c r="C89" s="2" t="s">
        <v>53</v>
      </c>
      <c r="D89" s="2">
        <v>3</v>
      </c>
      <c r="E89" s="2">
        <v>39.29</v>
      </c>
      <c r="F89" s="2">
        <v>0.219746</v>
      </c>
      <c r="G89" s="2">
        <v>112049</v>
      </c>
      <c r="H89" s="2">
        <v>1690</v>
      </c>
      <c r="I89" s="2">
        <f t="shared" si="10"/>
        <v>113739</v>
      </c>
      <c r="J89" s="2">
        <v>5</v>
      </c>
      <c r="K89" s="2" t="s">
        <v>43</v>
      </c>
      <c r="L89" s="2" t="s">
        <v>10</v>
      </c>
      <c r="M89" s="2" t="s">
        <v>12</v>
      </c>
      <c r="N89" s="2" t="s">
        <v>12</v>
      </c>
      <c r="O89" s="2" t="s">
        <v>51</v>
      </c>
      <c r="P89" s="2">
        <f>IF(OR('Ground-Truth'!$C$2&lt;&gt;"Ja",'Ground-Truth'!$D$2=""),"",IF(TEXT(K89,"0")=TEXT('Ground-Truth'!$D$2,"0"),1,0))</f>
        <v>0</v>
      </c>
      <c r="Q89" s="2">
        <f>IF(OR('Ground-Truth'!$C$3&lt;&gt;"Ja",'Ground-Truth'!$D$3=""),"",IF(TEXT(L89,"0")=TEXT('Ground-Truth'!$D$3,"0"),1,0))</f>
        <v>1</v>
      </c>
      <c r="R89" s="2">
        <f>IF(OR('Ground-Truth'!$C$4&lt;&gt;"Ja",'Ground-Truth'!$D$4=""),"",IF(TEXT(M89,"0")=TEXT('Ground-Truth'!$D$4,"0"),1,0))</f>
        <v>1</v>
      </c>
      <c r="S89" s="2" t="str">
        <f>IF(OR('Ground-Truth'!$C$5&lt;&gt;"Ja",'Ground-Truth'!$D$5=""),"",IF(TEXT(N89,"0")=TEXT('Ground-Truth'!$D$5,"0"),1,0))</f>
        <v/>
      </c>
      <c r="T89" s="2" t="str">
        <f>IF(OR('Ground-Truth'!$C$6&lt;&gt;"Ja",'Ground-Truth'!$D$6=""),"",IF(TEXT(O89,"0")=TEXT('Ground-Truth'!$D$6,"0"),1,0))</f>
        <v/>
      </c>
      <c r="U89" s="2">
        <f t="shared" si="11"/>
        <v>2</v>
      </c>
      <c r="V89" s="2">
        <f t="shared" si="12"/>
        <v>3</v>
      </c>
      <c r="W89" s="2">
        <f t="shared" si="13"/>
        <v>66.666666666666657</v>
      </c>
      <c r="X89" s="4" t="str">
        <f t="shared" si="14"/>
        <v>gpt-5.2-chat_C3_Single</v>
      </c>
    </row>
    <row r="90" spans="1:24" ht="15" customHeight="1" x14ac:dyDescent="0.25">
      <c r="A90" s="3" t="s">
        <v>40</v>
      </c>
      <c r="B90" s="2" t="s">
        <v>46</v>
      </c>
      <c r="C90" s="2" t="s">
        <v>53</v>
      </c>
      <c r="D90" s="2">
        <v>4</v>
      </c>
      <c r="E90" s="2">
        <v>41.52</v>
      </c>
      <c r="F90" s="2">
        <v>0.22201399999999999</v>
      </c>
      <c r="G90" s="2">
        <v>112049</v>
      </c>
      <c r="H90" s="2">
        <v>1852</v>
      </c>
      <c r="I90" s="2">
        <f t="shared" si="10"/>
        <v>113901</v>
      </c>
      <c r="J90" s="2">
        <v>5</v>
      </c>
      <c r="K90" s="2" t="s">
        <v>43</v>
      </c>
      <c r="L90" s="2" t="s">
        <v>10</v>
      </c>
      <c r="M90" s="2" t="s">
        <v>12</v>
      </c>
      <c r="N90" s="2" t="s">
        <v>12</v>
      </c>
      <c r="O90" s="2" t="s">
        <v>15</v>
      </c>
      <c r="P90" s="2">
        <f>IF(OR('Ground-Truth'!$C$2&lt;&gt;"Ja",'Ground-Truth'!$D$2=""),"",IF(TEXT(K90,"0")=TEXT('Ground-Truth'!$D$2,"0"),1,0))</f>
        <v>0</v>
      </c>
      <c r="Q90" s="2">
        <f>IF(OR('Ground-Truth'!$C$3&lt;&gt;"Ja",'Ground-Truth'!$D$3=""),"",IF(TEXT(L90,"0")=TEXT('Ground-Truth'!$D$3,"0"),1,0))</f>
        <v>1</v>
      </c>
      <c r="R90" s="2">
        <f>IF(OR('Ground-Truth'!$C$4&lt;&gt;"Ja",'Ground-Truth'!$D$4=""),"",IF(TEXT(M90,"0")=TEXT('Ground-Truth'!$D$4,"0"),1,0))</f>
        <v>1</v>
      </c>
      <c r="S90" s="2" t="str">
        <f>IF(OR('Ground-Truth'!$C$5&lt;&gt;"Ja",'Ground-Truth'!$D$5=""),"",IF(TEXT(N90,"0")=TEXT('Ground-Truth'!$D$5,"0"),1,0))</f>
        <v/>
      </c>
      <c r="T90" s="2" t="str">
        <f>IF(OR('Ground-Truth'!$C$6&lt;&gt;"Ja",'Ground-Truth'!$D$6=""),"",IF(TEXT(O90,"0")=TEXT('Ground-Truth'!$D$6,"0"),1,0))</f>
        <v/>
      </c>
      <c r="U90" s="2">
        <f t="shared" si="11"/>
        <v>2</v>
      </c>
      <c r="V90" s="2">
        <f t="shared" si="12"/>
        <v>3</v>
      </c>
      <c r="W90" s="2">
        <f t="shared" si="13"/>
        <v>66.666666666666657</v>
      </c>
      <c r="X90" s="4" t="str">
        <f t="shared" si="14"/>
        <v>gpt-5.2-chat_C3_Single</v>
      </c>
    </row>
    <row r="91" spans="1:24" ht="15" customHeight="1" x14ac:dyDescent="0.25">
      <c r="A91" s="3" t="s">
        <v>40</v>
      </c>
      <c r="B91" s="2" t="s">
        <v>46</v>
      </c>
      <c r="C91" s="2" t="s">
        <v>53</v>
      </c>
      <c r="D91" s="2">
        <v>5</v>
      </c>
      <c r="E91" s="2">
        <v>38.78</v>
      </c>
      <c r="F91" s="2">
        <v>0.221412</v>
      </c>
      <c r="G91" s="2">
        <v>112049</v>
      </c>
      <c r="H91" s="2">
        <v>1809</v>
      </c>
      <c r="I91" s="2">
        <f t="shared" si="10"/>
        <v>113858</v>
      </c>
      <c r="J91" s="2">
        <v>5</v>
      </c>
      <c r="K91" s="2" t="s">
        <v>43</v>
      </c>
      <c r="L91" s="2" t="s">
        <v>10</v>
      </c>
      <c r="M91" s="2" t="s">
        <v>12</v>
      </c>
      <c r="N91" s="2" t="s">
        <v>12</v>
      </c>
      <c r="O91" s="2" t="s">
        <v>51</v>
      </c>
      <c r="P91" s="2">
        <f>IF(OR('Ground-Truth'!$C$2&lt;&gt;"Ja",'Ground-Truth'!$D$2=""),"",IF(TEXT(K91,"0")=TEXT('Ground-Truth'!$D$2,"0"),1,0))</f>
        <v>0</v>
      </c>
      <c r="Q91" s="2">
        <f>IF(OR('Ground-Truth'!$C$3&lt;&gt;"Ja",'Ground-Truth'!$D$3=""),"",IF(TEXT(L91,"0")=TEXT('Ground-Truth'!$D$3,"0"),1,0))</f>
        <v>1</v>
      </c>
      <c r="R91" s="2">
        <f>IF(OR('Ground-Truth'!$C$4&lt;&gt;"Ja",'Ground-Truth'!$D$4=""),"",IF(TEXT(M91,"0")=TEXT('Ground-Truth'!$D$4,"0"),1,0))</f>
        <v>1</v>
      </c>
      <c r="S91" s="2" t="str">
        <f>IF(OR('Ground-Truth'!$C$5&lt;&gt;"Ja",'Ground-Truth'!$D$5=""),"",IF(TEXT(N91,"0")=TEXT('Ground-Truth'!$D$5,"0"),1,0))</f>
        <v/>
      </c>
      <c r="T91" s="2" t="str">
        <f>IF(OR('Ground-Truth'!$C$6&lt;&gt;"Ja",'Ground-Truth'!$D$6=""),"",IF(TEXT(O91,"0")=TEXT('Ground-Truth'!$D$6,"0"),1,0))</f>
        <v/>
      </c>
      <c r="U91" s="2">
        <f t="shared" si="11"/>
        <v>2</v>
      </c>
      <c r="V91" s="2">
        <f t="shared" si="12"/>
        <v>3</v>
      </c>
      <c r="W91" s="2">
        <f t="shared" si="13"/>
        <v>66.666666666666657</v>
      </c>
      <c r="X91" s="4" t="str">
        <f t="shared" si="14"/>
        <v>gpt-5.2-chat_C3_Single</v>
      </c>
    </row>
    <row r="92" spans="1:24" ht="15" customHeight="1" x14ac:dyDescent="0.25">
      <c r="A92" s="3" t="s">
        <v>40</v>
      </c>
      <c r="B92" s="2" t="s">
        <v>47</v>
      </c>
      <c r="C92" s="2" t="s">
        <v>53</v>
      </c>
      <c r="D92" s="2">
        <v>1</v>
      </c>
      <c r="E92" s="2">
        <v>37.72</v>
      </c>
      <c r="F92" s="2">
        <v>0.22114600000000001</v>
      </c>
      <c r="G92" s="2">
        <v>112049</v>
      </c>
      <c r="H92" s="2">
        <v>1790</v>
      </c>
      <c r="I92" s="2">
        <f t="shared" si="10"/>
        <v>113839</v>
      </c>
      <c r="J92" s="2">
        <v>5</v>
      </c>
      <c r="K92" s="2" t="s">
        <v>8</v>
      </c>
      <c r="L92" s="2" t="s">
        <v>10</v>
      </c>
      <c r="M92" s="2" t="s">
        <v>12</v>
      </c>
      <c r="N92" s="2" t="s">
        <v>12</v>
      </c>
      <c r="O92" s="2" t="s">
        <v>51</v>
      </c>
      <c r="P92" s="2">
        <f>IF(OR('Ground-Truth'!$C$2&lt;&gt;"Ja",'Ground-Truth'!$D$2=""),"",IF(TEXT(K92,"0")=TEXT('Ground-Truth'!$D$2,"0"),1,0))</f>
        <v>1</v>
      </c>
      <c r="Q92" s="2">
        <f>IF(OR('Ground-Truth'!$C$3&lt;&gt;"Ja",'Ground-Truth'!$D$3=""),"",IF(TEXT(L92,"0")=TEXT('Ground-Truth'!$D$3,"0"),1,0))</f>
        <v>1</v>
      </c>
      <c r="R92" s="2">
        <f>IF(OR('Ground-Truth'!$C$4&lt;&gt;"Ja",'Ground-Truth'!$D$4=""),"",IF(TEXT(M92,"0")=TEXT('Ground-Truth'!$D$4,"0"),1,0))</f>
        <v>1</v>
      </c>
      <c r="S92" s="2" t="str">
        <f>IF(OR('Ground-Truth'!$C$5&lt;&gt;"Ja",'Ground-Truth'!$D$5=""),"",IF(TEXT(N92,"0")=TEXT('Ground-Truth'!$D$5,"0"),1,0))</f>
        <v/>
      </c>
      <c r="T92" s="2" t="str">
        <f>IF(OR('Ground-Truth'!$C$6&lt;&gt;"Ja",'Ground-Truth'!$D$6=""),"",IF(TEXT(O92,"0")=TEXT('Ground-Truth'!$D$6,"0"),1,0))</f>
        <v/>
      </c>
      <c r="U92" s="2">
        <f t="shared" si="11"/>
        <v>3</v>
      </c>
      <c r="V92" s="2">
        <f t="shared" si="12"/>
        <v>3</v>
      </c>
      <c r="W92" s="2">
        <f t="shared" si="13"/>
        <v>100</v>
      </c>
      <c r="X92" s="4" t="str">
        <f t="shared" si="14"/>
        <v>gpt-5.2-chat_C4_Baseline</v>
      </c>
    </row>
    <row r="93" spans="1:24" ht="15" customHeight="1" x14ac:dyDescent="0.25">
      <c r="A93" s="3" t="s">
        <v>40</v>
      </c>
      <c r="B93" s="2" t="s">
        <v>47</v>
      </c>
      <c r="C93" s="2" t="s">
        <v>53</v>
      </c>
      <c r="D93" s="2">
        <v>2</v>
      </c>
      <c r="E93" s="2">
        <v>44.38</v>
      </c>
      <c r="F93" s="2">
        <v>0.224856</v>
      </c>
      <c r="G93" s="2">
        <v>112049</v>
      </c>
      <c r="H93" s="2">
        <v>2055</v>
      </c>
      <c r="I93" s="2">
        <f t="shared" si="10"/>
        <v>114104</v>
      </c>
      <c r="J93" s="2">
        <v>5</v>
      </c>
      <c r="K93" s="2" t="s">
        <v>8</v>
      </c>
      <c r="L93" s="2" t="s">
        <v>10</v>
      </c>
      <c r="M93" s="2" t="s">
        <v>12</v>
      </c>
      <c r="N93" s="2" t="s">
        <v>12</v>
      </c>
      <c r="O93" s="2" t="s">
        <v>51</v>
      </c>
      <c r="P93" s="2">
        <f>IF(OR('Ground-Truth'!$C$2&lt;&gt;"Ja",'Ground-Truth'!$D$2=""),"",IF(TEXT(K93,"0")=TEXT('Ground-Truth'!$D$2,"0"),1,0))</f>
        <v>1</v>
      </c>
      <c r="Q93" s="2">
        <f>IF(OR('Ground-Truth'!$C$3&lt;&gt;"Ja",'Ground-Truth'!$D$3=""),"",IF(TEXT(L93,"0")=TEXT('Ground-Truth'!$D$3,"0"),1,0))</f>
        <v>1</v>
      </c>
      <c r="R93" s="2">
        <f>IF(OR('Ground-Truth'!$C$4&lt;&gt;"Ja",'Ground-Truth'!$D$4=""),"",IF(TEXT(M93,"0")=TEXT('Ground-Truth'!$D$4,"0"),1,0))</f>
        <v>1</v>
      </c>
      <c r="S93" s="2" t="str">
        <f>IF(OR('Ground-Truth'!$C$5&lt;&gt;"Ja",'Ground-Truth'!$D$5=""),"",IF(TEXT(N93,"0")=TEXT('Ground-Truth'!$D$5,"0"),1,0))</f>
        <v/>
      </c>
      <c r="T93" s="2" t="str">
        <f>IF(OR('Ground-Truth'!$C$6&lt;&gt;"Ja",'Ground-Truth'!$D$6=""),"",IF(TEXT(O93,"0")=TEXT('Ground-Truth'!$D$6,"0"),1,0))</f>
        <v/>
      </c>
      <c r="U93" s="2">
        <f t="shared" si="11"/>
        <v>3</v>
      </c>
      <c r="V93" s="2">
        <f t="shared" si="12"/>
        <v>3</v>
      </c>
      <c r="W93" s="2">
        <f t="shared" si="13"/>
        <v>100</v>
      </c>
      <c r="X93" s="4" t="str">
        <f t="shared" si="14"/>
        <v>gpt-5.2-chat_C4_Baseline</v>
      </c>
    </row>
    <row r="94" spans="1:24" ht="15" customHeight="1" x14ac:dyDescent="0.25">
      <c r="A94" s="3" t="s">
        <v>40</v>
      </c>
      <c r="B94" s="2" t="s">
        <v>47</v>
      </c>
      <c r="C94" s="2" t="s">
        <v>53</v>
      </c>
      <c r="D94" s="2">
        <v>3</v>
      </c>
      <c r="E94" s="2">
        <v>40.299999999999997</v>
      </c>
      <c r="F94" s="2">
        <v>0.22247600000000001</v>
      </c>
      <c r="G94" s="2">
        <v>112049</v>
      </c>
      <c r="H94" s="2">
        <v>1885</v>
      </c>
      <c r="I94" s="2">
        <f t="shared" si="10"/>
        <v>113934</v>
      </c>
      <c r="J94" s="2">
        <v>5</v>
      </c>
      <c r="K94" s="2" t="s">
        <v>8</v>
      </c>
      <c r="L94" s="2" t="s">
        <v>10</v>
      </c>
      <c r="M94" s="2" t="s">
        <v>12</v>
      </c>
      <c r="N94" s="2" t="s">
        <v>12</v>
      </c>
      <c r="O94" s="2" t="s">
        <v>51</v>
      </c>
      <c r="P94" s="2">
        <f>IF(OR('Ground-Truth'!$C$2&lt;&gt;"Ja",'Ground-Truth'!$D$2=""),"",IF(TEXT(K94,"0")=TEXT('Ground-Truth'!$D$2,"0"),1,0))</f>
        <v>1</v>
      </c>
      <c r="Q94" s="2">
        <f>IF(OR('Ground-Truth'!$C$3&lt;&gt;"Ja",'Ground-Truth'!$D$3=""),"",IF(TEXT(L94,"0")=TEXT('Ground-Truth'!$D$3,"0"),1,0))</f>
        <v>1</v>
      </c>
      <c r="R94" s="2">
        <f>IF(OR('Ground-Truth'!$C$4&lt;&gt;"Ja",'Ground-Truth'!$D$4=""),"",IF(TEXT(M94,"0")=TEXT('Ground-Truth'!$D$4,"0"),1,0))</f>
        <v>1</v>
      </c>
      <c r="S94" s="2" t="str">
        <f>IF(OR('Ground-Truth'!$C$5&lt;&gt;"Ja",'Ground-Truth'!$D$5=""),"",IF(TEXT(N94,"0")=TEXT('Ground-Truth'!$D$5,"0"),1,0))</f>
        <v/>
      </c>
      <c r="T94" s="2" t="str">
        <f>IF(OR('Ground-Truth'!$C$6&lt;&gt;"Ja",'Ground-Truth'!$D$6=""),"",IF(TEXT(O94,"0")=TEXT('Ground-Truth'!$D$6,"0"),1,0))</f>
        <v/>
      </c>
      <c r="U94" s="2">
        <f t="shared" si="11"/>
        <v>3</v>
      </c>
      <c r="V94" s="2">
        <f t="shared" si="12"/>
        <v>3</v>
      </c>
      <c r="W94" s="2">
        <f t="shared" si="13"/>
        <v>100</v>
      </c>
      <c r="X94" s="4" t="str">
        <f t="shared" si="14"/>
        <v>gpt-5.2-chat_C4_Baseline</v>
      </c>
    </row>
    <row r="95" spans="1:24" ht="15" customHeight="1" x14ac:dyDescent="0.25">
      <c r="A95" s="3" t="s">
        <v>40</v>
      </c>
      <c r="B95" s="2" t="s">
        <v>47</v>
      </c>
      <c r="C95" s="2" t="s">
        <v>53</v>
      </c>
      <c r="D95" s="2">
        <v>4</v>
      </c>
      <c r="E95" s="2">
        <v>36.659999999999997</v>
      </c>
      <c r="F95" s="2">
        <v>0.22254599999999999</v>
      </c>
      <c r="G95" s="2">
        <v>112049</v>
      </c>
      <c r="H95" s="2">
        <v>1890</v>
      </c>
      <c r="I95" s="2">
        <f t="shared" si="10"/>
        <v>113939</v>
      </c>
      <c r="J95" s="2">
        <v>5</v>
      </c>
      <c r="K95" s="2" t="s">
        <v>8</v>
      </c>
      <c r="L95" s="2" t="s">
        <v>10</v>
      </c>
      <c r="M95" s="2" t="s">
        <v>12</v>
      </c>
      <c r="N95" s="2" t="s">
        <v>12</v>
      </c>
      <c r="O95" s="2" t="s">
        <v>51</v>
      </c>
      <c r="P95" s="2">
        <f>IF(OR('Ground-Truth'!$C$2&lt;&gt;"Ja",'Ground-Truth'!$D$2=""),"",IF(TEXT(K95,"0")=TEXT('Ground-Truth'!$D$2,"0"),1,0))</f>
        <v>1</v>
      </c>
      <c r="Q95" s="2">
        <f>IF(OR('Ground-Truth'!$C$3&lt;&gt;"Ja",'Ground-Truth'!$D$3=""),"",IF(TEXT(L95,"0")=TEXT('Ground-Truth'!$D$3,"0"),1,0))</f>
        <v>1</v>
      </c>
      <c r="R95" s="2">
        <f>IF(OR('Ground-Truth'!$C$4&lt;&gt;"Ja",'Ground-Truth'!$D$4=""),"",IF(TEXT(M95,"0")=TEXT('Ground-Truth'!$D$4,"0"),1,0))</f>
        <v>1</v>
      </c>
      <c r="S95" s="2" t="str">
        <f>IF(OR('Ground-Truth'!$C$5&lt;&gt;"Ja",'Ground-Truth'!$D$5=""),"",IF(TEXT(N95,"0")=TEXT('Ground-Truth'!$D$5,"0"),1,0))</f>
        <v/>
      </c>
      <c r="T95" s="2" t="str">
        <f>IF(OR('Ground-Truth'!$C$6&lt;&gt;"Ja",'Ground-Truth'!$D$6=""),"",IF(TEXT(O95,"0")=TEXT('Ground-Truth'!$D$6,"0"),1,0))</f>
        <v/>
      </c>
      <c r="U95" s="2">
        <f t="shared" si="11"/>
        <v>3</v>
      </c>
      <c r="V95" s="2">
        <f t="shared" si="12"/>
        <v>3</v>
      </c>
      <c r="W95" s="2">
        <f t="shared" si="13"/>
        <v>100</v>
      </c>
      <c r="X95" s="4" t="str">
        <f t="shared" si="14"/>
        <v>gpt-5.2-chat_C4_Baseline</v>
      </c>
    </row>
    <row r="96" spans="1:24" ht="15" customHeight="1" x14ac:dyDescent="0.25">
      <c r="A96" s="3" t="s">
        <v>40</v>
      </c>
      <c r="B96" s="2" t="s">
        <v>47</v>
      </c>
      <c r="C96" s="2" t="s">
        <v>53</v>
      </c>
      <c r="D96" s="2">
        <v>5</v>
      </c>
      <c r="E96" s="2">
        <v>39.869999999999997</v>
      </c>
      <c r="F96" s="2">
        <v>0.220026</v>
      </c>
      <c r="G96" s="2">
        <v>112049</v>
      </c>
      <c r="H96" s="2">
        <v>1710</v>
      </c>
      <c r="I96" s="2">
        <f t="shared" si="10"/>
        <v>113759</v>
      </c>
      <c r="J96" s="2">
        <v>5</v>
      </c>
      <c r="K96" s="2" t="s">
        <v>8</v>
      </c>
      <c r="L96" s="2" t="s">
        <v>10</v>
      </c>
      <c r="M96" s="2" t="s">
        <v>12</v>
      </c>
      <c r="N96" s="2" t="s">
        <v>12</v>
      </c>
      <c r="O96" s="2" t="s">
        <v>51</v>
      </c>
      <c r="P96" s="2">
        <f>IF(OR('Ground-Truth'!$C$2&lt;&gt;"Ja",'Ground-Truth'!$D$2=""),"",IF(TEXT(K96,"0")=TEXT('Ground-Truth'!$D$2,"0"),1,0))</f>
        <v>1</v>
      </c>
      <c r="Q96" s="2">
        <f>IF(OR('Ground-Truth'!$C$3&lt;&gt;"Ja",'Ground-Truth'!$D$3=""),"",IF(TEXT(L96,"0")=TEXT('Ground-Truth'!$D$3,"0"),1,0))</f>
        <v>1</v>
      </c>
      <c r="R96" s="2">
        <f>IF(OR('Ground-Truth'!$C$4&lt;&gt;"Ja",'Ground-Truth'!$D$4=""),"",IF(TEXT(M96,"0")=TEXT('Ground-Truth'!$D$4,"0"),1,0))</f>
        <v>1</v>
      </c>
      <c r="S96" s="2" t="str">
        <f>IF(OR('Ground-Truth'!$C$5&lt;&gt;"Ja",'Ground-Truth'!$D$5=""),"",IF(TEXT(N96,"0")=TEXT('Ground-Truth'!$D$5,"0"),1,0))</f>
        <v/>
      </c>
      <c r="T96" s="2" t="str">
        <f>IF(OR('Ground-Truth'!$C$6&lt;&gt;"Ja",'Ground-Truth'!$D$6=""),"",IF(TEXT(O96,"0")=TEXT('Ground-Truth'!$D$6,"0"),1,0))</f>
        <v/>
      </c>
      <c r="U96" s="2">
        <f t="shared" si="11"/>
        <v>3</v>
      </c>
      <c r="V96" s="2">
        <f t="shared" si="12"/>
        <v>3</v>
      </c>
      <c r="W96" s="2">
        <f t="shared" si="13"/>
        <v>100</v>
      </c>
      <c r="X96" s="4" t="str">
        <f t="shared" si="14"/>
        <v>gpt-5.2-chat_C4_Baseline</v>
      </c>
    </row>
    <row r="97" spans="1:24" ht="15" customHeight="1" x14ac:dyDescent="0.25">
      <c r="A97" s="3" t="s">
        <v>40</v>
      </c>
      <c r="B97" s="2" t="s">
        <v>48</v>
      </c>
      <c r="C97" s="2" t="s">
        <v>53</v>
      </c>
      <c r="D97" s="2">
        <v>1</v>
      </c>
      <c r="E97" s="2">
        <v>20.170000000000002</v>
      </c>
      <c r="F97" s="2">
        <v>2.3230000000000001E-2</v>
      </c>
      <c r="G97" s="2">
        <v>4418</v>
      </c>
      <c r="H97" s="2">
        <v>1107</v>
      </c>
      <c r="I97" s="2">
        <f t="shared" si="10"/>
        <v>5525</v>
      </c>
      <c r="J97" s="2">
        <v>1</v>
      </c>
      <c r="K97" s="2" t="s">
        <v>43</v>
      </c>
      <c r="L97" s="2" t="s">
        <v>10</v>
      </c>
      <c r="M97" s="2" t="s">
        <v>12</v>
      </c>
      <c r="N97" s="2" t="s">
        <v>12</v>
      </c>
      <c r="O97" s="2" t="s">
        <v>15</v>
      </c>
      <c r="P97" s="2">
        <f>IF(OR('Ground-Truth'!$C$2&lt;&gt;"Ja",'Ground-Truth'!$D$2=""),"",IF(TEXT(K97,"0")=TEXT('Ground-Truth'!$D$2,"0"),1,0))</f>
        <v>0</v>
      </c>
      <c r="Q97" s="2">
        <f>IF(OR('Ground-Truth'!$C$3&lt;&gt;"Ja",'Ground-Truth'!$D$3=""),"",IF(TEXT(L97,"0")=TEXT('Ground-Truth'!$D$3,"0"),1,0))</f>
        <v>1</v>
      </c>
      <c r="R97" s="2">
        <f>IF(OR('Ground-Truth'!$C$4&lt;&gt;"Ja",'Ground-Truth'!$D$4=""),"",IF(TEXT(M97,"0")=TEXT('Ground-Truth'!$D$4,"0"),1,0))</f>
        <v>1</v>
      </c>
      <c r="S97" s="2" t="str">
        <f>IF(OR('Ground-Truth'!$C$5&lt;&gt;"Ja",'Ground-Truth'!$D$5=""),"",IF(TEXT(N97,"0")=TEXT('Ground-Truth'!$D$5,"0"),1,0))</f>
        <v/>
      </c>
      <c r="T97" s="2" t="str">
        <f>IF(OR('Ground-Truth'!$C$6&lt;&gt;"Ja",'Ground-Truth'!$D$6=""),"",IF(TEXT(O97,"0")=TEXT('Ground-Truth'!$D$6,"0"),1,0))</f>
        <v/>
      </c>
      <c r="U97" s="2">
        <f t="shared" si="11"/>
        <v>2</v>
      </c>
      <c r="V97" s="2">
        <f t="shared" si="12"/>
        <v>3</v>
      </c>
      <c r="W97" s="2">
        <f t="shared" si="13"/>
        <v>66.666666666666657</v>
      </c>
      <c r="X97" s="4" t="str">
        <f t="shared" si="14"/>
        <v>gpt-5.2-chat_C5_BatchFiltered</v>
      </c>
    </row>
    <row r="98" spans="1:24" ht="15" customHeight="1" x14ac:dyDescent="0.25">
      <c r="A98" s="3" t="s">
        <v>40</v>
      </c>
      <c r="B98" s="2" t="s">
        <v>48</v>
      </c>
      <c r="C98" s="2" t="s">
        <v>53</v>
      </c>
      <c r="D98" s="2">
        <v>2</v>
      </c>
      <c r="E98" s="2">
        <v>21.63</v>
      </c>
      <c r="F98" s="2">
        <v>2.3496E-2</v>
      </c>
      <c r="G98" s="2">
        <v>4418</v>
      </c>
      <c r="H98" s="2">
        <v>1126</v>
      </c>
      <c r="I98" s="2">
        <f t="shared" ref="I98:I129" si="15">G98+H98</f>
        <v>5544</v>
      </c>
      <c r="J98" s="2">
        <v>1</v>
      </c>
      <c r="K98" s="2" t="s">
        <v>43</v>
      </c>
      <c r="L98" s="2" t="s">
        <v>10</v>
      </c>
      <c r="M98" s="2" t="s">
        <v>12</v>
      </c>
      <c r="N98" s="2" t="s">
        <v>12</v>
      </c>
      <c r="O98" s="2" t="s">
        <v>15</v>
      </c>
      <c r="P98" s="2">
        <f>IF(OR('Ground-Truth'!$C$2&lt;&gt;"Ja",'Ground-Truth'!$D$2=""),"",IF(TEXT(K98,"0")=TEXT('Ground-Truth'!$D$2,"0"),1,0))</f>
        <v>0</v>
      </c>
      <c r="Q98" s="2">
        <f>IF(OR('Ground-Truth'!$C$3&lt;&gt;"Ja",'Ground-Truth'!$D$3=""),"",IF(TEXT(L98,"0")=TEXT('Ground-Truth'!$D$3,"0"),1,0))</f>
        <v>1</v>
      </c>
      <c r="R98" s="2">
        <f>IF(OR('Ground-Truth'!$C$4&lt;&gt;"Ja",'Ground-Truth'!$D$4=""),"",IF(TEXT(M98,"0")=TEXT('Ground-Truth'!$D$4,"0"),1,0))</f>
        <v>1</v>
      </c>
      <c r="S98" s="2" t="str">
        <f>IF(OR('Ground-Truth'!$C$5&lt;&gt;"Ja",'Ground-Truth'!$D$5=""),"",IF(TEXT(N98,"0")=TEXT('Ground-Truth'!$D$5,"0"),1,0))</f>
        <v/>
      </c>
      <c r="T98" s="2" t="str">
        <f>IF(OR('Ground-Truth'!$C$6&lt;&gt;"Ja",'Ground-Truth'!$D$6=""),"",IF(TEXT(O98,"0")=TEXT('Ground-Truth'!$D$6,"0"),1,0))</f>
        <v/>
      </c>
      <c r="U98" s="2">
        <f t="shared" ref="U98:U129" si="16">SUM(P98:T98)</f>
        <v>2</v>
      </c>
      <c r="V98" s="2">
        <f t="shared" ref="V98:V129" si="17">COUNT(P98:T98)</f>
        <v>3</v>
      </c>
      <c r="W98" s="2">
        <f t="shared" ref="W98:W129" si="18">IF(V98=0,0,U98/V98*100)</f>
        <v>66.666666666666657</v>
      </c>
      <c r="X98" s="4" t="str">
        <f t="shared" ref="X98:X129" si="19">C98&amp;"_"&amp;B98</f>
        <v>gpt-5.2-chat_C5_BatchFiltered</v>
      </c>
    </row>
    <row r="99" spans="1:24" ht="15" customHeight="1" x14ac:dyDescent="0.25">
      <c r="A99" s="3" t="s">
        <v>40</v>
      </c>
      <c r="B99" s="2" t="s">
        <v>48</v>
      </c>
      <c r="C99" s="2" t="s">
        <v>53</v>
      </c>
      <c r="D99" s="2">
        <v>3</v>
      </c>
      <c r="E99" s="2">
        <v>13.34</v>
      </c>
      <c r="F99" s="2">
        <v>1.9113000000000002E-2</v>
      </c>
      <c r="G99" s="2">
        <v>4418</v>
      </c>
      <c r="H99" s="2">
        <v>813</v>
      </c>
      <c r="I99" s="2">
        <f t="shared" si="15"/>
        <v>5231</v>
      </c>
      <c r="J99" s="2">
        <v>1</v>
      </c>
      <c r="K99" s="2" t="s">
        <v>43</v>
      </c>
      <c r="L99" s="2" t="s">
        <v>54</v>
      </c>
      <c r="M99" s="2" t="s">
        <v>43</v>
      </c>
      <c r="N99" s="2" t="s">
        <v>43</v>
      </c>
      <c r="O99" s="2" t="s">
        <v>15</v>
      </c>
      <c r="P99" s="2">
        <f>IF(OR('Ground-Truth'!$C$2&lt;&gt;"Ja",'Ground-Truth'!$D$2=""),"",IF(TEXT(K99,"0")=TEXT('Ground-Truth'!$D$2,"0"),1,0))</f>
        <v>0</v>
      </c>
      <c r="Q99" s="2">
        <f>IF(OR('Ground-Truth'!$C$3&lt;&gt;"Ja",'Ground-Truth'!$D$3=""),"",IF(TEXT(L99,"0")=TEXT('Ground-Truth'!$D$3,"0"),1,0))</f>
        <v>0</v>
      </c>
      <c r="R99" s="2">
        <f>IF(OR('Ground-Truth'!$C$4&lt;&gt;"Ja",'Ground-Truth'!$D$4=""),"",IF(TEXT(M99,"0")=TEXT('Ground-Truth'!$D$4,"0"),1,0))</f>
        <v>0</v>
      </c>
      <c r="S99" s="2" t="str">
        <f>IF(OR('Ground-Truth'!$C$5&lt;&gt;"Ja",'Ground-Truth'!$D$5=""),"",IF(TEXT(N99,"0")=TEXT('Ground-Truth'!$D$5,"0"),1,0))</f>
        <v/>
      </c>
      <c r="T99" s="2" t="str">
        <f>IF(OR('Ground-Truth'!$C$6&lt;&gt;"Ja",'Ground-Truth'!$D$6=""),"",IF(TEXT(O99,"0")=TEXT('Ground-Truth'!$D$6,"0"),1,0))</f>
        <v/>
      </c>
      <c r="U99" s="2">
        <f t="shared" si="16"/>
        <v>0</v>
      </c>
      <c r="V99" s="2">
        <f t="shared" si="17"/>
        <v>3</v>
      </c>
      <c r="W99" s="2">
        <f t="shared" si="18"/>
        <v>0</v>
      </c>
      <c r="X99" s="4" t="str">
        <f t="shared" si="19"/>
        <v>gpt-5.2-chat_C5_BatchFiltered</v>
      </c>
    </row>
    <row r="100" spans="1:24" ht="15" customHeight="1" x14ac:dyDescent="0.25">
      <c r="A100" s="3" t="s">
        <v>40</v>
      </c>
      <c r="B100" s="2" t="s">
        <v>48</v>
      </c>
      <c r="C100" s="2" t="s">
        <v>53</v>
      </c>
      <c r="D100" s="2">
        <v>4</v>
      </c>
      <c r="E100" s="2">
        <v>17.829999999999998</v>
      </c>
      <c r="F100" s="2">
        <v>2.3200999999999999E-2</v>
      </c>
      <c r="G100" s="2">
        <v>4418</v>
      </c>
      <c r="H100" s="2">
        <v>1105</v>
      </c>
      <c r="I100" s="2">
        <f t="shared" si="15"/>
        <v>5523</v>
      </c>
      <c r="J100" s="2">
        <v>1</v>
      </c>
      <c r="K100" s="2" t="s">
        <v>43</v>
      </c>
      <c r="L100" s="2" t="s">
        <v>10</v>
      </c>
      <c r="M100" s="2" t="s">
        <v>12</v>
      </c>
      <c r="N100" s="2" t="s">
        <v>12</v>
      </c>
      <c r="O100" s="2" t="s">
        <v>15</v>
      </c>
      <c r="P100" s="2">
        <f>IF(OR('Ground-Truth'!$C$2&lt;&gt;"Ja",'Ground-Truth'!$D$2=""),"",IF(TEXT(K100,"0")=TEXT('Ground-Truth'!$D$2,"0"),1,0))</f>
        <v>0</v>
      </c>
      <c r="Q100" s="2">
        <f>IF(OR('Ground-Truth'!$C$3&lt;&gt;"Ja",'Ground-Truth'!$D$3=""),"",IF(TEXT(L100,"0")=TEXT('Ground-Truth'!$D$3,"0"),1,0))</f>
        <v>1</v>
      </c>
      <c r="R100" s="2">
        <f>IF(OR('Ground-Truth'!$C$4&lt;&gt;"Ja",'Ground-Truth'!$D$4=""),"",IF(TEXT(M100,"0")=TEXT('Ground-Truth'!$D$4,"0"),1,0))</f>
        <v>1</v>
      </c>
      <c r="S100" s="2" t="str">
        <f>IF(OR('Ground-Truth'!$C$5&lt;&gt;"Ja",'Ground-Truth'!$D$5=""),"",IF(TEXT(N100,"0")=TEXT('Ground-Truth'!$D$5,"0"),1,0))</f>
        <v/>
      </c>
      <c r="T100" s="2" t="str">
        <f>IF(OR('Ground-Truth'!$C$6&lt;&gt;"Ja",'Ground-Truth'!$D$6=""),"",IF(TEXT(O100,"0")=TEXT('Ground-Truth'!$D$6,"0"),1,0))</f>
        <v/>
      </c>
      <c r="U100" s="2">
        <f t="shared" si="16"/>
        <v>2</v>
      </c>
      <c r="V100" s="2">
        <f t="shared" si="17"/>
        <v>3</v>
      </c>
      <c r="W100" s="2">
        <f t="shared" si="18"/>
        <v>66.666666666666657</v>
      </c>
      <c r="X100" s="4" t="str">
        <f t="shared" si="19"/>
        <v>gpt-5.2-chat_C5_BatchFiltered</v>
      </c>
    </row>
    <row r="101" spans="1:24" ht="15" customHeight="1" x14ac:dyDescent="0.25">
      <c r="A101" s="3" t="s">
        <v>40</v>
      </c>
      <c r="B101" s="2" t="s">
        <v>48</v>
      </c>
      <c r="C101" s="2" t="s">
        <v>53</v>
      </c>
      <c r="D101" s="2">
        <v>5</v>
      </c>
      <c r="E101" s="2">
        <v>17.38</v>
      </c>
      <c r="F101" s="2">
        <v>2.1843999999999999E-2</v>
      </c>
      <c r="G101" s="2">
        <v>4418</v>
      </c>
      <c r="H101" s="2">
        <v>1008</v>
      </c>
      <c r="I101" s="2">
        <f t="shared" si="15"/>
        <v>5426</v>
      </c>
      <c r="J101" s="2">
        <v>1</v>
      </c>
      <c r="K101" s="2" t="s">
        <v>43</v>
      </c>
      <c r="L101" s="2" t="s">
        <v>10</v>
      </c>
      <c r="M101" s="2" t="s">
        <v>12</v>
      </c>
      <c r="N101" s="2" t="s">
        <v>12</v>
      </c>
      <c r="O101" s="2" t="s">
        <v>51</v>
      </c>
      <c r="P101" s="2">
        <f>IF(OR('Ground-Truth'!$C$2&lt;&gt;"Ja",'Ground-Truth'!$D$2=""),"",IF(TEXT(K101,"0")=TEXT('Ground-Truth'!$D$2,"0"),1,0))</f>
        <v>0</v>
      </c>
      <c r="Q101" s="2">
        <f>IF(OR('Ground-Truth'!$C$3&lt;&gt;"Ja",'Ground-Truth'!$D$3=""),"",IF(TEXT(L101,"0")=TEXT('Ground-Truth'!$D$3,"0"),1,0))</f>
        <v>1</v>
      </c>
      <c r="R101" s="2">
        <f>IF(OR('Ground-Truth'!$C$4&lt;&gt;"Ja",'Ground-Truth'!$D$4=""),"",IF(TEXT(M101,"0")=TEXT('Ground-Truth'!$D$4,"0"),1,0))</f>
        <v>1</v>
      </c>
      <c r="S101" s="2" t="str">
        <f>IF(OR('Ground-Truth'!$C$5&lt;&gt;"Ja",'Ground-Truth'!$D$5=""),"",IF(TEXT(N101,"0")=TEXT('Ground-Truth'!$D$5,"0"),1,0))</f>
        <v/>
      </c>
      <c r="T101" s="2" t="str">
        <f>IF(OR('Ground-Truth'!$C$6&lt;&gt;"Ja",'Ground-Truth'!$D$6=""),"",IF(TEXT(O101,"0")=TEXT('Ground-Truth'!$D$6,"0"),1,0))</f>
        <v/>
      </c>
      <c r="U101" s="2">
        <f t="shared" si="16"/>
        <v>2</v>
      </c>
      <c r="V101" s="2">
        <f t="shared" si="17"/>
        <v>3</v>
      </c>
      <c r="W101" s="2">
        <f t="shared" si="18"/>
        <v>66.666666666666657</v>
      </c>
      <c r="X101" s="4" t="str">
        <f t="shared" si="19"/>
        <v>gpt-5.2-chat_C5_BatchFiltered</v>
      </c>
    </row>
    <row r="102" spans="1:24" ht="15" customHeight="1" x14ac:dyDescent="0.25">
      <c r="A102" s="3" t="s">
        <v>55</v>
      </c>
      <c r="B102" s="2" t="s">
        <v>56</v>
      </c>
      <c r="C102" s="2" t="s">
        <v>42</v>
      </c>
      <c r="D102" s="2">
        <v>1</v>
      </c>
      <c r="E102" s="2">
        <v>13.51</v>
      </c>
      <c r="F102" s="2">
        <v>3.9490000000000003E-3</v>
      </c>
      <c r="G102" s="2">
        <v>23014</v>
      </c>
      <c r="H102" s="2">
        <v>828</v>
      </c>
      <c r="I102" s="2">
        <f t="shared" si="15"/>
        <v>23842</v>
      </c>
      <c r="J102" s="2">
        <v>1</v>
      </c>
      <c r="K102" s="2" t="s">
        <v>8</v>
      </c>
      <c r="L102" s="2" t="s">
        <v>10</v>
      </c>
      <c r="M102" s="2" t="s">
        <v>12</v>
      </c>
      <c r="N102" s="2" t="s">
        <v>12</v>
      </c>
      <c r="O102" s="2" t="s">
        <v>15</v>
      </c>
      <c r="P102" s="2">
        <f>IF(OR('Ground-Truth'!$C$2&lt;&gt;"Ja",'Ground-Truth'!$D$2=""),"",IF(TEXT(K102,"0")=TEXT('Ground-Truth'!$D$2,"0"),1,0))</f>
        <v>1</v>
      </c>
      <c r="Q102" s="2">
        <f>IF(OR('Ground-Truth'!$C$3&lt;&gt;"Ja",'Ground-Truth'!$D$3=""),"",IF(TEXT(L102,"0")=TEXT('Ground-Truth'!$D$3,"0"),1,0))</f>
        <v>1</v>
      </c>
      <c r="R102" s="2">
        <f>IF(OR('Ground-Truth'!$C$4&lt;&gt;"Ja",'Ground-Truth'!$D$4=""),"",IF(TEXT(M102,"0")=TEXT('Ground-Truth'!$D$4,"0"),1,0))</f>
        <v>1</v>
      </c>
      <c r="S102" s="2" t="str">
        <f>IF(OR('Ground-Truth'!$C$5&lt;&gt;"Ja",'Ground-Truth'!$D$5=""),"",IF(TEXT(N102,"0")=TEXT('Ground-Truth'!$D$5,"0"),1,0))</f>
        <v/>
      </c>
      <c r="T102" s="2" t="str">
        <f>IF(OR('Ground-Truth'!$C$6&lt;&gt;"Ja",'Ground-Truth'!$D$6=""),"",IF(TEXT(O102,"0")=TEXT('Ground-Truth'!$D$6,"0"),1,0))</f>
        <v/>
      </c>
      <c r="U102" s="2">
        <f t="shared" si="16"/>
        <v>3</v>
      </c>
      <c r="V102" s="2">
        <f t="shared" si="17"/>
        <v>3</v>
      </c>
      <c r="W102" s="2">
        <f t="shared" si="18"/>
        <v>100</v>
      </c>
      <c r="X102" s="4" t="str">
        <f t="shared" si="19"/>
        <v>gpt-4o-mini_C6_BatchOnly</v>
      </c>
    </row>
    <row r="103" spans="1:24" ht="15" customHeight="1" x14ac:dyDescent="0.25">
      <c r="A103" s="3" t="s">
        <v>55</v>
      </c>
      <c r="B103" s="2" t="s">
        <v>56</v>
      </c>
      <c r="C103" s="2" t="s">
        <v>42</v>
      </c>
      <c r="D103" s="2">
        <v>2</v>
      </c>
      <c r="E103" s="2">
        <v>15.66</v>
      </c>
      <c r="F103" s="2">
        <v>3.9430000000000003E-3</v>
      </c>
      <c r="G103" s="2">
        <v>23014</v>
      </c>
      <c r="H103" s="2">
        <v>819</v>
      </c>
      <c r="I103" s="2">
        <f t="shared" si="15"/>
        <v>23833</v>
      </c>
      <c r="J103" s="2">
        <v>1</v>
      </c>
      <c r="K103" s="2" t="s">
        <v>8</v>
      </c>
      <c r="L103" s="2" t="s">
        <v>10</v>
      </c>
      <c r="M103" s="2" t="s">
        <v>12</v>
      </c>
      <c r="N103" s="2" t="s">
        <v>12</v>
      </c>
      <c r="O103" s="2" t="s">
        <v>15</v>
      </c>
      <c r="P103" s="2">
        <f>IF(OR('Ground-Truth'!$C$2&lt;&gt;"Ja",'Ground-Truth'!$D$2=""),"",IF(TEXT(K103,"0")=TEXT('Ground-Truth'!$D$2,"0"),1,0))</f>
        <v>1</v>
      </c>
      <c r="Q103" s="2">
        <f>IF(OR('Ground-Truth'!$C$3&lt;&gt;"Ja",'Ground-Truth'!$D$3=""),"",IF(TEXT(L103,"0")=TEXT('Ground-Truth'!$D$3,"0"),1,0))</f>
        <v>1</v>
      </c>
      <c r="R103" s="2">
        <f>IF(OR('Ground-Truth'!$C$4&lt;&gt;"Ja",'Ground-Truth'!$D$4=""),"",IF(TEXT(M103,"0")=TEXT('Ground-Truth'!$D$4,"0"),1,0))</f>
        <v>1</v>
      </c>
      <c r="S103" s="2" t="str">
        <f>IF(OR('Ground-Truth'!$C$5&lt;&gt;"Ja",'Ground-Truth'!$D$5=""),"",IF(TEXT(N103,"0")=TEXT('Ground-Truth'!$D$5,"0"),1,0))</f>
        <v/>
      </c>
      <c r="T103" s="2" t="str">
        <f>IF(OR('Ground-Truth'!$C$6&lt;&gt;"Ja",'Ground-Truth'!$D$6=""),"",IF(TEXT(O103,"0")=TEXT('Ground-Truth'!$D$6,"0"),1,0))</f>
        <v/>
      </c>
      <c r="U103" s="2">
        <f t="shared" si="16"/>
        <v>3</v>
      </c>
      <c r="V103" s="2">
        <f t="shared" si="17"/>
        <v>3</v>
      </c>
      <c r="W103" s="2">
        <f t="shared" si="18"/>
        <v>100</v>
      </c>
      <c r="X103" s="4" t="str">
        <f t="shared" si="19"/>
        <v>gpt-4o-mini_C6_BatchOnly</v>
      </c>
    </row>
    <row r="104" spans="1:24" ht="15" customHeight="1" x14ac:dyDescent="0.25">
      <c r="A104" s="3" t="s">
        <v>55</v>
      </c>
      <c r="B104" s="2" t="s">
        <v>56</v>
      </c>
      <c r="C104" s="2" t="s">
        <v>42</v>
      </c>
      <c r="D104" s="2">
        <v>3</v>
      </c>
      <c r="E104" s="2">
        <v>11.54</v>
      </c>
      <c r="F104" s="2">
        <v>3.852E-3</v>
      </c>
      <c r="G104" s="2">
        <v>23014</v>
      </c>
      <c r="H104" s="2">
        <v>666</v>
      </c>
      <c r="I104" s="2">
        <f t="shared" si="15"/>
        <v>23680</v>
      </c>
      <c r="J104" s="2">
        <v>1</v>
      </c>
      <c r="K104" s="2" t="s">
        <v>8</v>
      </c>
      <c r="L104" s="2" t="s">
        <v>10</v>
      </c>
      <c r="M104" s="2" t="s">
        <v>12</v>
      </c>
      <c r="N104" s="2" t="s">
        <v>12</v>
      </c>
      <c r="O104" s="2" t="s">
        <v>15</v>
      </c>
      <c r="P104" s="2">
        <f>IF(OR('Ground-Truth'!$C$2&lt;&gt;"Ja",'Ground-Truth'!$D$2=""),"",IF(TEXT(K104,"0")=TEXT('Ground-Truth'!$D$2,"0"),1,0))</f>
        <v>1</v>
      </c>
      <c r="Q104" s="2">
        <f>IF(OR('Ground-Truth'!$C$3&lt;&gt;"Ja",'Ground-Truth'!$D$3=""),"",IF(TEXT(L104,"0")=TEXT('Ground-Truth'!$D$3,"0"),1,0))</f>
        <v>1</v>
      </c>
      <c r="R104" s="2">
        <f>IF(OR('Ground-Truth'!$C$4&lt;&gt;"Ja",'Ground-Truth'!$D$4=""),"",IF(TEXT(M104,"0")=TEXT('Ground-Truth'!$D$4,"0"),1,0))</f>
        <v>1</v>
      </c>
      <c r="S104" s="2" t="str">
        <f>IF(OR('Ground-Truth'!$C$5&lt;&gt;"Ja",'Ground-Truth'!$D$5=""),"",IF(TEXT(N104,"0")=TEXT('Ground-Truth'!$D$5,"0"),1,0))</f>
        <v/>
      </c>
      <c r="T104" s="2" t="str">
        <f>IF(OR('Ground-Truth'!$C$6&lt;&gt;"Ja",'Ground-Truth'!$D$6=""),"",IF(TEXT(O104,"0")=TEXT('Ground-Truth'!$D$6,"0"),1,0))</f>
        <v/>
      </c>
      <c r="U104" s="2">
        <f t="shared" si="16"/>
        <v>3</v>
      </c>
      <c r="V104" s="2">
        <f t="shared" si="17"/>
        <v>3</v>
      </c>
      <c r="W104" s="2">
        <f t="shared" si="18"/>
        <v>100</v>
      </c>
      <c r="X104" s="4" t="str">
        <f t="shared" si="19"/>
        <v>gpt-4o-mini_C6_BatchOnly</v>
      </c>
    </row>
    <row r="105" spans="1:24" ht="15" customHeight="1" x14ac:dyDescent="0.25">
      <c r="A105" s="3" t="s">
        <v>55</v>
      </c>
      <c r="B105" s="2" t="s">
        <v>56</v>
      </c>
      <c r="C105" s="2" t="s">
        <v>42</v>
      </c>
      <c r="D105" s="2">
        <v>4</v>
      </c>
      <c r="E105" s="2">
        <v>13.76</v>
      </c>
      <c r="F105" s="2">
        <v>3.8839999999999999E-3</v>
      </c>
      <c r="G105" s="2">
        <v>23014</v>
      </c>
      <c r="H105" s="2">
        <v>719</v>
      </c>
      <c r="I105" s="2">
        <f t="shared" si="15"/>
        <v>23733</v>
      </c>
      <c r="J105" s="2">
        <v>1</v>
      </c>
      <c r="K105" s="2" t="s">
        <v>8</v>
      </c>
      <c r="L105" s="2" t="s">
        <v>10</v>
      </c>
      <c r="M105" s="2" t="s">
        <v>12</v>
      </c>
      <c r="N105" s="2" t="s">
        <v>12</v>
      </c>
      <c r="O105" s="2" t="s">
        <v>15</v>
      </c>
      <c r="P105" s="2">
        <f>IF(OR('Ground-Truth'!$C$2&lt;&gt;"Ja",'Ground-Truth'!$D$2=""),"",IF(TEXT(K105,"0")=TEXT('Ground-Truth'!$D$2,"0"),1,0))</f>
        <v>1</v>
      </c>
      <c r="Q105" s="2">
        <f>IF(OR('Ground-Truth'!$C$3&lt;&gt;"Ja",'Ground-Truth'!$D$3=""),"",IF(TEXT(L105,"0")=TEXT('Ground-Truth'!$D$3,"0"),1,0))</f>
        <v>1</v>
      </c>
      <c r="R105" s="2">
        <f>IF(OR('Ground-Truth'!$C$4&lt;&gt;"Ja",'Ground-Truth'!$D$4=""),"",IF(TEXT(M105,"0")=TEXT('Ground-Truth'!$D$4,"0"),1,0))</f>
        <v>1</v>
      </c>
      <c r="S105" s="2" t="str">
        <f>IF(OR('Ground-Truth'!$C$5&lt;&gt;"Ja",'Ground-Truth'!$D$5=""),"",IF(TEXT(N105,"0")=TEXT('Ground-Truth'!$D$5,"0"),1,0))</f>
        <v/>
      </c>
      <c r="T105" s="2" t="str">
        <f>IF(OR('Ground-Truth'!$C$6&lt;&gt;"Ja",'Ground-Truth'!$D$6=""),"",IF(TEXT(O105,"0")=TEXT('Ground-Truth'!$D$6,"0"),1,0))</f>
        <v/>
      </c>
      <c r="U105" s="2">
        <f t="shared" si="16"/>
        <v>3</v>
      </c>
      <c r="V105" s="2">
        <f t="shared" si="17"/>
        <v>3</v>
      </c>
      <c r="W105" s="2">
        <f t="shared" si="18"/>
        <v>100</v>
      </c>
      <c r="X105" s="4" t="str">
        <f t="shared" si="19"/>
        <v>gpt-4o-mini_C6_BatchOnly</v>
      </c>
    </row>
    <row r="106" spans="1:24" ht="15" customHeight="1" x14ac:dyDescent="0.25">
      <c r="A106" s="3" t="s">
        <v>55</v>
      </c>
      <c r="B106" s="2" t="s">
        <v>56</v>
      </c>
      <c r="C106" s="2" t="s">
        <v>42</v>
      </c>
      <c r="D106" s="2">
        <v>5</v>
      </c>
      <c r="E106" s="2">
        <v>10.36</v>
      </c>
      <c r="F106" s="2">
        <v>3.7650000000000001E-3</v>
      </c>
      <c r="G106" s="2">
        <v>23014</v>
      </c>
      <c r="H106" s="2">
        <v>522</v>
      </c>
      <c r="I106" s="2">
        <f t="shared" si="15"/>
        <v>23536</v>
      </c>
      <c r="J106" s="2">
        <v>1</v>
      </c>
      <c r="K106" s="2" t="s">
        <v>8</v>
      </c>
      <c r="L106" s="2" t="s">
        <v>10</v>
      </c>
      <c r="M106" s="2" t="s">
        <v>12</v>
      </c>
      <c r="N106" s="2" t="s">
        <v>12</v>
      </c>
      <c r="O106" s="2" t="s">
        <v>15</v>
      </c>
      <c r="P106" s="2">
        <f>IF(OR('Ground-Truth'!$C$2&lt;&gt;"Ja",'Ground-Truth'!$D$2=""),"",IF(TEXT(K106,"0")=TEXT('Ground-Truth'!$D$2,"0"),1,0))</f>
        <v>1</v>
      </c>
      <c r="Q106" s="2">
        <f>IF(OR('Ground-Truth'!$C$3&lt;&gt;"Ja",'Ground-Truth'!$D$3=""),"",IF(TEXT(L106,"0")=TEXT('Ground-Truth'!$D$3,"0"),1,0))</f>
        <v>1</v>
      </c>
      <c r="R106" s="2">
        <f>IF(OR('Ground-Truth'!$C$4&lt;&gt;"Ja",'Ground-Truth'!$D$4=""),"",IF(TEXT(M106,"0")=TEXT('Ground-Truth'!$D$4,"0"),1,0))</f>
        <v>1</v>
      </c>
      <c r="S106" s="2" t="str">
        <f>IF(OR('Ground-Truth'!$C$5&lt;&gt;"Ja",'Ground-Truth'!$D$5=""),"",IF(TEXT(N106,"0")=TEXT('Ground-Truth'!$D$5,"0"),1,0))</f>
        <v/>
      </c>
      <c r="T106" s="2" t="str">
        <f>IF(OR('Ground-Truth'!$C$6&lt;&gt;"Ja",'Ground-Truth'!$D$6=""),"",IF(TEXT(O106,"0")=TEXT('Ground-Truth'!$D$6,"0"),1,0))</f>
        <v/>
      </c>
      <c r="U106" s="2">
        <f t="shared" si="16"/>
        <v>3</v>
      </c>
      <c r="V106" s="2">
        <f t="shared" si="17"/>
        <v>3</v>
      </c>
      <c r="W106" s="2">
        <f t="shared" si="18"/>
        <v>100</v>
      </c>
      <c r="X106" s="4" t="str">
        <f t="shared" si="19"/>
        <v>gpt-4o-mini_C6_BatchOnly</v>
      </c>
    </row>
    <row r="107" spans="1:24" ht="15" customHeight="1" x14ac:dyDescent="0.25">
      <c r="A107" s="3" t="s">
        <v>55</v>
      </c>
      <c r="B107" s="2" t="s">
        <v>57</v>
      </c>
      <c r="C107" s="2" t="s">
        <v>42</v>
      </c>
      <c r="D107" s="2">
        <v>1</v>
      </c>
      <c r="E107" s="2">
        <v>12.61</v>
      </c>
      <c r="F107" s="2">
        <v>1.3760000000000001E-3</v>
      </c>
      <c r="G107" s="2">
        <v>6576</v>
      </c>
      <c r="H107" s="2">
        <v>650</v>
      </c>
      <c r="I107" s="2">
        <f t="shared" si="15"/>
        <v>7226</v>
      </c>
      <c r="J107" s="2">
        <v>5</v>
      </c>
      <c r="K107" s="2" t="s">
        <v>8</v>
      </c>
      <c r="L107" s="2" t="s">
        <v>10</v>
      </c>
      <c r="M107" s="2" t="s">
        <v>12</v>
      </c>
      <c r="N107" s="2" t="s">
        <v>12</v>
      </c>
      <c r="O107" s="2" t="s">
        <v>45</v>
      </c>
      <c r="P107" s="2">
        <f>IF(OR('Ground-Truth'!$C$2&lt;&gt;"Ja",'Ground-Truth'!$D$2=""),"",IF(TEXT(K107,"0")=TEXT('Ground-Truth'!$D$2,"0"),1,0))</f>
        <v>1</v>
      </c>
      <c r="Q107" s="2">
        <f>IF(OR('Ground-Truth'!$C$3&lt;&gt;"Ja",'Ground-Truth'!$D$3=""),"",IF(TEXT(L107,"0")=TEXT('Ground-Truth'!$D$3,"0"),1,0))</f>
        <v>1</v>
      </c>
      <c r="R107" s="2">
        <f>IF(OR('Ground-Truth'!$C$4&lt;&gt;"Ja",'Ground-Truth'!$D$4=""),"",IF(TEXT(M107,"0")=TEXT('Ground-Truth'!$D$4,"0"),1,0))</f>
        <v>1</v>
      </c>
      <c r="S107" s="2" t="str">
        <f>IF(OR('Ground-Truth'!$C$5&lt;&gt;"Ja",'Ground-Truth'!$D$5=""),"",IF(TEXT(N107,"0")=TEXT('Ground-Truth'!$D$5,"0"),1,0))</f>
        <v/>
      </c>
      <c r="T107" s="2" t="str">
        <f>IF(OR('Ground-Truth'!$C$6&lt;&gt;"Ja",'Ground-Truth'!$D$6=""),"",IF(TEXT(O107,"0")=TEXT('Ground-Truth'!$D$6,"0"),1,0))</f>
        <v/>
      </c>
      <c r="U107" s="2">
        <f t="shared" si="16"/>
        <v>3</v>
      </c>
      <c r="V107" s="2">
        <f t="shared" si="17"/>
        <v>3</v>
      </c>
      <c r="W107" s="2">
        <f t="shared" si="18"/>
        <v>100</v>
      </c>
      <c r="X107" s="4" t="str">
        <f t="shared" si="19"/>
        <v>gpt-4o-mini_C7_FilterOnly</v>
      </c>
    </row>
    <row r="108" spans="1:24" ht="15" customHeight="1" x14ac:dyDescent="0.25">
      <c r="A108" s="3" t="s">
        <v>55</v>
      </c>
      <c r="B108" s="2" t="s">
        <v>57</v>
      </c>
      <c r="C108" s="2" t="s">
        <v>42</v>
      </c>
      <c r="D108" s="2">
        <v>2</v>
      </c>
      <c r="E108" s="2">
        <v>13</v>
      </c>
      <c r="F108" s="2">
        <v>1.4090000000000001E-3</v>
      </c>
      <c r="G108" s="2">
        <v>6576</v>
      </c>
      <c r="H108" s="2">
        <v>705</v>
      </c>
      <c r="I108" s="2">
        <f t="shared" si="15"/>
        <v>7281</v>
      </c>
      <c r="J108" s="2">
        <v>5</v>
      </c>
      <c r="K108" s="2" t="s">
        <v>8</v>
      </c>
      <c r="L108" s="2" t="s">
        <v>10</v>
      </c>
      <c r="M108" s="2" t="s">
        <v>12</v>
      </c>
      <c r="N108" s="2" t="s">
        <v>12</v>
      </c>
      <c r="O108" s="2" t="s">
        <v>45</v>
      </c>
      <c r="P108" s="2">
        <f>IF(OR('Ground-Truth'!$C$2&lt;&gt;"Ja",'Ground-Truth'!$D$2=""),"",IF(TEXT(K108,"0")=TEXT('Ground-Truth'!$D$2,"0"),1,0))</f>
        <v>1</v>
      </c>
      <c r="Q108" s="2">
        <f>IF(OR('Ground-Truth'!$C$3&lt;&gt;"Ja",'Ground-Truth'!$D$3=""),"",IF(TEXT(L108,"0")=TEXT('Ground-Truth'!$D$3,"0"),1,0))</f>
        <v>1</v>
      </c>
      <c r="R108" s="2">
        <f>IF(OR('Ground-Truth'!$C$4&lt;&gt;"Ja",'Ground-Truth'!$D$4=""),"",IF(TEXT(M108,"0")=TEXT('Ground-Truth'!$D$4,"0"),1,0))</f>
        <v>1</v>
      </c>
      <c r="S108" s="2" t="str">
        <f>IF(OR('Ground-Truth'!$C$5&lt;&gt;"Ja",'Ground-Truth'!$D$5=""),"",IF(TEXT(N108,"0")=TEXT('Ground-Truth'!$D$5,"0"),1,0))</f>
        <v/>
      </c>
      <c r="T108" s="2" t="str">
        <f>IF(OR('Ground-Truth'!$C$6&lt;&gt;"Ja",'Ground-Truth'!$D$6=""),"",IF(TEXT(O108,"0")=TEXT('Ground-Truth'!$D$6,"0"),1,0))</f>
        <v/>
      </c>
      <c r="U108" s="2">
        <f t="shared" si="16"/>
        <v>3</v>
      </c>
      <c r="V108" s="2">
        <f t="shared" si="17"/>
        <v>3</v>
      </c>
      <c r="W108" s="2">
        <f t="shared" si="18"/>
        <v>100</v>
      </c>
      <c r="X108" s="4" t="str">
        <f t="shared" si="19"/>
        <v>gpt-4o-mini_C7_FilterOnly</v>
      </c>
    </row>
    <row r="109" spans="1:24" ht="15" customHeight="1" x14ac:dyDescent="0.25">
      <c r="A109" s="3" t="s">
        <v>55</v>
      </c>
      <c r="B109" s="2" t="s">
        <v>57</v>
      </c>
      <c r="C109" s="2" t="s">
        <v>42</v>
      </c>
      <c r="D109" s="2">
        <v>3</v>
      </c>
      <c r="E109" s="2">
        <v>12.4</v>
      </c>
      <c r="F109" s="2">
        <v>1.343E-3</v>
      </c>
      <c r="G109" s="2">
        <v>6576</v>
      </c>
      <c r="H109" s="2">
        <v>594</v>
      </c>
      <c r="I109" s="2">
        <f t="shared" si="15"/>
        <v>7170</v>
      </c>
      <c r="J109" s="2">
        <v>5</v>
      </c>
      <c r="K109" s="2" t="s">
        <v>8</v>
      </c>
      <c r="L109" s="2" t="s">
        <v>10</v>
      </c>
      <c r="M109" s="2" t="s">
        <v>12</v>
      </c>
      <c r="N109" s="2" t="s">
        <v>12</v>
      </c>
      <c r="O109" s="2" t="s">
        <v>45</v>
      </c>
      <c r="P109" s="2">
        <f>IF(OR('Ground-Truth'!$C$2&lt;&gt;"Ja",'Ground-Truth'!$D$2=""),"",IF(TEXT(K109,"0")=TEXT('Ground-Truth'!$D$2,"0"),1,0))</f>
        <v>1</v>
      </c>
      <c r="Q109" s="2">
        <f>IF(OR('Ground-Truth'!$C$3&lt;&gt;"Ja",'Ground-Truth'!$D$3=""),"",IF(TEXT(L109,"0")=TEXT('Ground-Truth'!$D$3,"0"),1,0))</f>
        <v>1</v>
      </c>
      <c r="R109" s="2">
        <f>IF(OR('Ground-Truth'!$C$4&lt;&gt;"Ja",'Ground-Truth'!$D$4=""),"",IF(TEXT(M109,"0")=TEXT('Ground-Truth'!$D$4,"0"),1,0))</f>
        <v>1</v>
      </c>
      <c r="S109" s="2" t="str">
        <f>IF(OR('Ground-Truth'!$C$5&lt;&gt;"Ja",'Ground-Truth'!$D$5=""),"",IF(TEXT(N109,"0")=TEXT('Ground-Truth'!$D$5,"0"),1,0))</f>
        <v/>
      </c>
      <c r="T109" s="2" t="str">
        <f>IF(OR('Ground-Truth'!$C$6&lt;&gt;"Ja",'Ground-Truth'!$D$6=""),"",IF(TEXT(O109,"0")=TEXT('Ground-Truth'!$D$6,"0"),1,0))</f>
        <v/>
      </c>
      <c r="U109" s="2">
        <f t="shared" si="16"/>
        <v>3</v>
      </c>
      <c r="V109" s="2">
        <f t="shared" si="17"/>
        <v>3</v>
      </c>
      <c r="W109" s="2">
        <f t="shared" si="18"/>
        <v>100</v>
      </c>
      <c r="X109" s="4" t="str">
        <f t="shared" si="19"/>
        <v>gpt-4o-mini_C7_FilterOnly</v>
      </c>
    </row>
    <row r="110" spans="1:24" ht="15" customHeight="1" x14ac:dyDescent="0.25">
      <c r="A110" s="3" t="s">
        <v>55</v>
      </c>
      <c r="B110" s="2" t="s">
        <v>57</v>
      </c>
      <c r="C110" s="2" t="s">
        <v>42</v>
      </c>
      <c r="D110" s="2">
        <v>4</v>
      </c>
      <c r="E110" s="2">
        <v>14.33</v>
      </c>
      <c r="F110" s="2">
        <v>1.48E-3</v>
      </c>
      <c r="G110" s="2">
        <v>6576</v>
      </c>
      <c r="H110" s="2">
        <v>822</v>
      </c>
      <c r="I110" s="2">
        <f t="shared" si="15"/>
        <v>7398</v>
      </c>
      <c r="J110" s="2">
        <v>5</v>
      </c>
      <c r="K110" s="2" t="s">
        <v>8</v>
      </c>
      <c r="L110" s="2" t="s">
        <v>10</v>
      </c>
      <c r="M110" s="2" t="s">
        <v>12</v>
      </c>
      <c r="N110" s="2" t="s">
        <v>12</v>
      </c>
      <c r="O110" s="2" t="s">
        <v>45</v>
      </c>
      <c r="P110" s="2">
        <f>IF(OR('Ground-Truth'!$C$2&lt;&gt;"Ja",'Ground-Truth'!$D$2=""),"",IF(TEXT(K110,"0")=TEXT('Ground-Truth'!$D$2,"0"),1,0))</f>
        <v>1</v>
      </c>
      <c r="Q110" s="2">
        <f>IF(OR('Ground-Truth'!$C$3&lt;&gt;"Ja",'Ground-Truth'!$D$3=""),"",IF(TEXT(L110,"0")=TEXT('Ground-Truth'!$D$3,"0"),1,0))</f>
        <v>1</v>
      </c>
      <c r="R110" s="2">
        <f>IF(OR('Ground-Truth'!$C$4&lt;&gt;"Ja",'Ground-Truth'!$D$4=""),"",IF(TEXT(M110,"0")=TEXT('Ground-Truth'!$D$4,"0"),1,0))</f>
        <v>1</v>
      </c>
      <c r="S110" s="2" t="str">
        <f>IF(OR('Ground-Truth'!$C$5&lt;&gt;"Ja",'Ground-Truth'!$D$5=""),"",IF(TEXT(N110,"0")=TEXT('Ground-Truth'!$D$5,"0"),1,0))</f>
        <v/>
      </c>
      <c r="T110" s="2" t="str">
        <f>IF(OR('Ground-Truth'!$C$6&lt;&gt;"Ja",'Ground-Truth'!$D$6=""),"",IF(TEXT(O110,"0")=TEXT('Ground-Truth'!$D$6,"0"),1,0))</f>
        <v/>
      </c>
      <c r="U110" s="2">
        <f t="shared" si="16"/>
        <v>3</v>
      </c>
      <c r="V110" s="2">
        <f t="shared" si="17"/>
        <v>3</v>
      </c>
      <c r="W110" s="2">
        <f t="shared" si="18"/>
        <v>100</v>
      </c>
      <c r="X110" s="4" t="str">
        <f t="shared" si="19"/>
        <v>gpt-4o-mini_C7_FilterOnly</v>
      </c>
    </row>
    <row r="111" spans="1:24" ht="15" customHeight="1" x14ac:dyDescent="0.25">
      <c r="A111" s="3" t="s">
        <v>55</v>
      </c>
      <c r="B111" s="2" t="s">
        <v>57</v>
      </c>
      <c r="C111" s="2" t="s">
        <v>42</v>
      </c>
      <c r="D111" s="2">
        <v>5</v>
      </c>
      <c r="E111" s="2">
        <v>13.54</v>
      </c>
      <c r="F111" s="2">
        <v>1.4519999999999999E-3</v>
      </c>
      <c r="G111" s="2">
        <v>6576</v>
      </c>
      <c r="H111" s="2">
        <v>776</v>
      </c>
      <c r="I111" s="2">
        <f t="shared" si="15"/>
        <v>7352</v>
      </c>
      <c r="J111" s="2">
        <v>5</v>
      </c>
      <c r="K111" s="2" t="s">
        <v>8</v>
      </c>
      <c r="L111" s="2" t="s">
        <v>10</v>
      </c>
      <c r="M111" s="2" t="s">
        <v>12</v>
      </c>
      <c r="N111" s="2" t="s">
        <v>12</v>
      </c>
      <c r="O111" s="2" t="s">
        <v>45</v>
      </c>
      <c r="P111" s="2">
        <f>IF(OR('Ground-Truth'!$C$2&lt;&gt;"Ja",'Ground-Truth'!$D$2=""),"",IF(TEXT(K111,"0")=TEXT('Ground-Truth'!$D$2,"0"),1,0))</f>
        <v>1</v>
      </c>
      <c r="Q111" s="2">
        <f>IF(OR('Ground-Truth'!$C$3&lt;&gt;"Ja",'Ground-Truth'!$D$3=""),"",IF(TEXT(L111,"0")=TEXT('Ground-Truth'!$D$3,"0"),1,0))</f>
        <v>1</v>
      </c>
      <c r="R111" s="2">
        <f>IF(OR('Ground-Truth'!$C$4&lt;&gt;"Ja",'Ground-Truth'!$D$4=""),"",IF(TEXT(M111,"0")=TEXT('Ground-Truth'!$D$4,"0"),1,0))</f>
        <v>1</v>
      </c>
      <c r="S111" s="2" t="str">
        <f>IF(OR('Ground-Truth'!$C$5&lt;&gt;"Ja",'Ground-Truth'!$D$5=""),"",IF(TEXT(N111,"0")=TEXT('Ground-Truth'!$D$5,"0"),1,0))</f>
        <v/>
      </c>
      <c r="T111" s="2" t="str">
        <f>IF(OR('Ground-Truth'!$C$6&lt;&gt;"Ja",'Ground-Truth'!$D$6=""),"",IF(TEXT(O111,"0")=TEXT('Ground-Truth'!$D$6,"0"),1,0))</f>
        <v/>
      </c>
      <c r="U111" s="2">
        <f t="shared" si="16"/>
        <v>3</v>
      </c>
      <c r="V111" s="2">
        <f t="shared" si="17"/>
        <v>3</v>
      </c>
      <c r="W111" s="2">
        <f t="shared" si="18"/>
        <v>100</v>
      </c>
      <c r="X111" s="4" t="str">
        <f t="shared" si="19"/>
        <v>gpt-4o-mini_C7_FilterOnly</v>
      </c>
    </row>
    <row r="112" spans="1:24" ht="15" customHeight="1" x14ac:dyDescent="0.25">
      <c r="A112" s="3" t="s">
        <v>55</v>
      </c>
      <c r="B112" s="2" t="s">
        <v>58</v>
      </c>
      <c r="C112" s="2" t="s">
        <v>42</v>
      </c>
      <c r="D112" s="2">
        <v>1</v>
      </c>
      <c r="E112" s="2">
        <v>9.89</v>
      </c>
      <c r="F112" s="2">
        <v>9.2400000000000002E-4</v>
      </c>
      <c r="G112" s="2">
        <v>4419</v>
      </c>
      <c r="H112" s="2">
        <v>435</v>
      </c>
      <c r="I112" s="2">
        <f t="shared" si="15"/>
        <v>4854</v>
      </c>
      <c r="J112" s="2">
        <v>1</v>
      </c>
      <c r="K112" s="2" t="s">
        <v>43</v>
      </c>
      <c r="L112" s="2" t="s">
        <v>10</v>
      </c>
      <c r="M112" s="2" t="s">
        <v>12</v>
      </c>
      <c r="N112" s="2" t="s">
        <v>12</v>
      </c>
      <c r="O112" s="2" t="s">
        <v>15</v>
      </c>
      <c r="P112" s="2">
        <f>IF(OR('Ground-Truth'!$C$2&lt;&gt;"Ja",'Ground-Truth'!$D$2=""),"",IF(TEXT(K112,"0")=TEXT('Ground-Truth'!$D$2,"0"),1,0))</f>
        <v>0</v>
      </c>
      <c r="Q112" s="2">
        <f>IF(OR('Ground-Truth'!$C$3&lt;&gt;"Ja",'Ground-Truth'!$D$3=""),"",IF(TEXT(L112,"0")=TEXT('Ground-Truth'!$D$3,"0"),1,0))</f>
        <v>1</v>
      </c>
      <c r="R112" s="2">
        <f>IF(OR('Ground-Truth'!$C$4&lt;&gt;"Ja",'Ground-Truth'!$D$4=""),"",IF(TEXT(M112,"0")=TEXT('Ground-Truth'!$D$4,"0"),1,0))</f>
        <v>1</v>
      </c>
      <c r="S112" s="2" t="str">
        <f>IF(OR('Ground-Truth'!$C$5&lt;&gt;"Ja",'Ground-Truth'!$D$5=""),"",IF(TEXT(N112,"0")=TEXT('Ground-Truth'!$D$5,"0"),1,0))</f>
        <v/>
      </c>
      <c r="T112" s="2" t="str">
        <f>IF(OR('Ground-Truth'!$C$6&lt;&gt;"Ja",'Ground-Truth'!$D$6=""),"",IF(TEXT(O112,"0")=TEXT('Ground-Truth'!$D$6,"0"),1,0))</f>
        <v/>
      </c>
      <c r="U112" s="2">
        <f t="shared" si="16"/>
        <v>2</v>
      </c>
      <c r="V112" s="2">
        <f t="shared" si="17"/>
        <v>3</v>
      </c>
      <c r="W112" s="2">
        <f t="shared" si="18"/>
        <v>66.666666666666657</v>
      </c>
      <c r="X112" s="4" t="str">
        <f t="shared" si="19"/>
        <v>gpt-4o-mini_C8_BatchFiltered_NoName</v>
      </c>
    </row>
    <row r="113" spans="1:24" ht="15" customHeight="1" x14ac:dyDescent="0.25">
      <c r="A113" s="3" t="s">
        <v>55</v>
      </c>
      <c r="B113" s="2" t="s">
        <v>58</v>
      </c>
      <c r="C113" s="2" t="s">
        <v>42</v>
      </c>
      <c r="D113" s="2">
        <v>2</v>
      </c>
      <c r="E113" s="2">
        <v>9.3699999999999992</v>
      </c>
      <c r="F113" s="2">
        <v>9.2400000000000002E-4</v>
      </c>
      <c r="G113" s="2">
        <v>4419</v>
      </c>
      <c r="H113" s="2">
        <v>435</v>
      </c>
      <c r="I113" s="2">
        <f t="shared" si="15"/>
        <v>4854</v>
      </c>
      <c r="J113" s="2">
        <v>1</v>
      </c>
      <c r="K113" s="2" t="s">
        <v>43</v>
      </c>
      <c r="L113" s="2" t="s">
        <v>10</v>
      </c>
      <c r="M113" s="2" t="s">
        <v>12</v>
      </c>
      <c r="N113" s="2" t="s">
        <v>12</v>
      </c>
      <c r="O113" s="2" t="s">
        <v>15</v>
      </c>
      <c r="P113" s="2">
        <f>IF(OR('Ground-Truth'!$C$2&lt;&gt;"Ja",'Ground-Truth'!$D$2=""),"",IF(TEXT(K113,"0")=TEXT('Ground-Truth'!$D$2,"0"),1,0))</f>
        <v>0</v>
      </c>
      <c r="Q113" s="2">
        <f>IF(OR('Ground-Truth'!$C$3&lt;&gt;"Ja",'Ground-Truth'!$D$3=""),"",IF(TEXT(L113,"0")=TEXT('Ground-Truth'!$D$3,"0"),1,0))</f>
        <v>1</v>
      </c>
      <c r="R113" s="2">
        <f>IF(OR('Ground-Truth'!$C$4&lt;&gt;"Ja",'Ground-Truth'!$D$4=""),"",IF(TEXT(M113,"0")=TEXT('Ground-Truth'!$D$4,"0"),1,0))</f>
        <v>1</v>
      </c>
      <c r="S113" s="2" t="str">
        <f>IF(OR('Ground-Truth'!$C$5&lt;&gt;"Ja",'Ground-Truth'!$D$5=""),"",IF(TEXT(N113,"0")=TEXT('Ground-Truth'!$D$5,"0"),1,0))</f>
        <v/>
      </c>
      <c r="T113" s="2" t="str">
        <f>IF(OR('Ground-Truth'!$C$6&lt;&gt;"Ja",'Ground-Truth'!$D$6=""),"",IF(TEXT(O113,"0")=TEXT('Ground-Truth'!$D$6,"0"),1,0))</f>
        <v/>
      </c>
      <c r="U113" s="2">
        <f t="shared" si="16"/>
        <v>2</v>
      </c>
      <c r="V113" s="2">
        <f t="shared" si="17"/>
        <v>3</v>
      </c>
      <c r="W113" s="2">
        <f t="shared" si="18"/>
        <v>66.666666666666657</v>
      </c>
      <c r="X113" s="4" t="str">
        <f t="shared" si="19"/>
        <v>gpt-4o-mini_C8_BatchFiltered_NoName</v>
      </c>
    </row>
    <row r="114" spans="1:24" ht="15" customHeight="1" x14ac:dyDescent="0.25">
      <c r="A114" s="3" t="s">
        <v>55</v>
      </c>
      <c r="B114" s="2" t="s">
        <v>58</v>
      </c>
      <c r="C114" s="2" t="s">
        <v>42</v>
      </c>
      <c r="D114" s="2">
        <v>3</v>
      </c>
      <c r="E114" s="2">
        <v>9.17</v>
      </c>
      <c r="F114" s="2">
        <v>9.2599999999999996E-4</v>
      </c>
      <c r="G114" s="2">
        <v>4419</v>
      </c>
      <c r="H114" s="2">
        <v>439</v>
      </c>
      <c r="I114" s="2">
        <f t="shared" si="15"/>
        <v>4858</v>
      </c>
      <c r="J114" s="2">
        <v>1</v>
      </c>
      <c r="K114" s="2" t="s">
        <v>43</v>
      </c>
      <c r="L114" s="2" t="s">
        <v>10</v>
      </c>
      <c r="M114" s="2" t="s">
        <v>12</v>
      </c>
      <c r="N114" s="2" t="s">
        <v>12</v>
      </c>
      <c r="O114" s="2" t="s">
        <v>15</v>
      </c>
      <c r="P114" s="2">
        <f>IF(OR('Ground-Truth'!$C$2&lt;&gt;"Ja",'Ground-Truth'!$D$2=""),"",IF(TEXT(K114,"0")=TEXT('Ground-Truth'!$D$2,"0"),1,0))</f>
        <v>0</v>
      </c>
      <c r="Q114" s="2">
        <f>IF(OR('Ground-Truth'!$C$3&lt;&gt;"Ja",'Ground-Truth'!$D$3=""),"",IF(TEXT(L114,"0")=TEXT('Ground-Truth'!$D$3,"0"),1,0))</f>
        <v>1</v>
      </c>
      <c r="R114" s="2">
        <f>IF(OR('Ground-Truth'!$C$4&lt;&gt;"Ja",'Ground-Truth'!$D$4=""),"",IF(TEXT(M114,"0")=TEXT('Ground-Truth'!$D$4,"0"),1,0))</f>
        <v>1</v>
      </c>
      <c r="S114" s="2" t="str">
        <f>IF(OR('Ground-Truth'!$C$5&lt;&gt;"Ja",'Ground-Truth'!$D$5=""),"",IF(TEXT(N114,"0")=TEXT('Ground-Truth'!$D$5,"0"),1,0))</f>
        <v/>
      </c>
      <c r="T114" s="2" t="str">
        <f>IF(OR('Ground-Truth'!$C$6&lt;&gt;"Ja",'Ground-Truth'!$D$6=""),"",IF(TEXT(O114,"0")=TEXT('Ground-Truth'!$D$6,"0"),1,0))</f>
        <v/>
      </c>
      <c r="U114" s="2">
        <f t="shared" si="16"/>
        <v>2</v>
      </c>
      <c r="V114" s="2">
        <f t="shared" si="17"/>
        <v>3</v>
      </c>
      <c r="W114" s="2">
        <f t="shared" si="18"/>
        <v>66.666666666666657</v>
      </c>
      <c r="X114" s="4" t="str">
        <f t="shared" si="19"/>
        <v>gpt-4o-mini_C8_BatchFiltered_NoName</v>
      </c>
    </row>
    <row r="115" spans="1:24" ht="15" customHeight="1" x14ac:dyDescent="0.25">
      <c r="A115" s="3" t="s">
        <v>55</v>
      </c>
      <c r="B115" s="2" t="s">
        <v>58</v>
      </c>
      <c r="C115" s="2" t="s">
        <v>42</v>
      </c>
      <c r="D115" s="2">
        <v>4</v>
      </c>
      <c r="E115" s="2">
        <v>8.32</v>
      </c>
      <c r="F115" s="2">
        <v>9.2400000000000002E-4</v>
      </c>
      <c r="G115" s="2">
        <v>4419</v>
      </c>
      <c r="H115" s="2">
        <v>435</v>
      </c>
      <c r="I115" s="2">
        <f t="shared" si="15"/>
        <v>4854</v>
      </c>
      <c r="J115" s="2">
        <v>1</v>
      </c>
      <c r="K115" s="2" t="s">
        <v>8</v>
      </c>
      <c r="L115" s="2" t="s">
        <v>10</v>
      </c>
      <c r="M115" s="2" t="s">
        <v>12</v>
      </c>
      <c r="N115" s="2" t="s">
        <v>12</v>
      </c>
      <c r="O115" s="2" t="s">
        <v>15</v>
      </c>
      <c r="P115" s="2">
        <f>IF(OR('Ground-Truth'!$C$2&lt;&gt;"Ja",'Ground-Truth'!$D$2=""),"",IF(TEXT(K115,"0")=TEXT('Ground-Truth'!$D$2,"0"),1,0))</f>
        <v>1</v>
      </c>
      <c r="Q115" s="2">
        <f>IF(OR('Ground-Truth'!$C$3&lt;&gt;"Ja",'Ground-Truth'!$D$3=""),"",IF(TEXT(L115,"0")=TEXT('Ground-Truth'!$D$3,"0"),1,0))</f>
        <v>1</v>
      </c>
      <c r="R115" s="2">
        <f>IF(OR('Ground-Truth'!$C$4&lt;&gt;"Ja",'Ground-Truth'!$D$4=""),"",IF(TEXT(M115,"0")=TEXT('Ground-Truth'!$D$4,"0"),1,0))</f>
        <v>1</v>
      </c>
      <c r="S115" s="2" t="str">
        <f>IF(OR('Ground-Truth'!$C$5&lt;&gt;"Ja",'Ground-Truth'!$D$5=""),"",IF(TEXT(N115,"0")=TEXT('Ground-Truth'!$D$5,"0"),1,0))</f>
        <v/>
      </c>
      <c r="T115" s="2" t="str">
        <f>IF(OR('Ground-Truth'!$C$6&lt;&gt;"Ja",'Ground-Truth'!$D$6=""),"",IF(TEXT(O115,"0")=TEXT('Ground-Truth'!$D$6,"0"),1,0))</f>
        <v/>
      </c>
      <c r="U115" s="2">
        <f t="shared" si="16"/>
        <v>3</v>
      </c>
      <c r="V115" s="2">
        <f t="shared" si="17"/>
        <v>3</v>
      </c>
      <c r="W115" s="2">
        <f t="shared" si="18"/>
        <v>100</v>
      </c>
      <c r="X115" s="4" t="str">
        <f t="shared" si="19"/>
        <v>gpt-4o-mini_C8_BatchFiltered_NoName</v>
      </c>
    </row>
    <row r="116" spans="1:24" ht="15" customHeight="1" x14ac:dyDescent="0.25">
      <c r="A116" s="3" t="s">
        <v>55</v>
      </c>
      <c r="B116" s="2" t="s">
        <v>58</v>
      </c>
      <c r="C116" s="2" t="s">
        <v>42</v>
      </c>
      <c r="D116" s="2">
        <v>5</v>
      </c>
      <c r="E116" s="2">
        <v>9.66</v>
      </c>
      <c r="F116" s="2">
        <v>9.2400000000000002E-4</v>
      </c>
      <c r="G116" s="2">
        <v>4419</v>
      </c>
      <c r="H116" s="2">
        <v>435</v>
      </c>
      <c r="I116" s="2">
        <f t="shared" si="15"/>
        <v>4854</v>
      </c>
      <c r="J116" s="2">
        <v>1</v>
      </c>
      <c r="K116" s="2" t="s">
        <v>8</v>
      </c>
      <c r="L116" s="2" t="s">
        <v>10</v>
      </c>
      <c r="M116" s="2" t="s">
        <v>12</v>
      </c>
      <c r="N116" s="2" t="s">
        <v>12</v>
      </c>
      <c r="O116" s="2" t="s">
        <v>15</v>
      </c>
      <c r="P116" s="2">
        <f>IF(OR('Ground-Truth'!$C$2&lt;&gt;"Ja",'Ground-Truth'!$D$2=""),"",IF(TEXT(K116,"0")=TEXT('Ground-Truth'!$D$2,"0"),1,0))</f>
        <v>1</v>
      </c>
      <c r="Q116" s="2">
        <f>IF(OR('Ground-Truth'!$C$3&lt;&gt;"Ja",'Ground-Truth'!$D$3=""),"",IF(TEXT(L116,"0")=TEXT('Ground-Truth'!$D$3,"0"),1,0))</f>
        <v>1</v>
      </c>
      <c r="R116" s="2">
        <f>IF(OR('Ground-Truth'!$C$4&lt;&gt;"Ja",'Ground-Truth'!$D$4=""),"",IF(TEXT(M116,"0")=TEXT('Ground-Truth'!$D$4,"0"),1,0))</f>
        <v>1</v>
      </c>
      <c r="S116" s="2" t="str">
        <f>IF(OR('Ground-Truth'!$C$5&lt;&gt;"Ja",'Ground-Truth'!$D$5=""),"",IF(TEXT(N116,"0")=TEXT('Ground-Truth'!$D$5,"0"),1,0))</f>
        <v/>
      </c>
      <c r="T116" s="2" t="str">
        <f>IF(OR('Ground-Truth'!$C$6&lt;&gt;"Ja",'Ground-Truth'!$D$6=""),"",IF(TEXT(O116,"0")=TEXT('Ground-Truth'!$D$6,"0"),1,0))</f>
        <v/>
      </c>
      <c r="U116" s="2">
        <f t="shared" si="16"/>
        <v>3</v>
      </c>
      <c r="V116" s="2">
        <f t="shared" si="17"/>
        <v>3</v>
      </c>
      <c r="W116" s="2">
        <f t="shared" si="18"/>
        <v>100</v>
      </c>
      <c r="X116" s="4" t="str">
        <f t="shared" si="19"/>
        <v>gpt-4o-mini_C8_BatchFiltered_NoName</v>
      </c>
    </row>
    <row r="117" spans="1:24" ht="15" customHeight="1" x14ac:dyDescent="0.25">
      <c r="A117" s="3" t="s">
        <v>55</v>
      </c>
      <c r="B117" s="2" t="s">
        <v>56</v>
      </c>
      <c r="C117" s="2" t="s">
        <v>49</v>
      </c>
      <c r="D117" s="2">
        <v>1</v>
      </c>
      <c r="E117" s="2">
        <v>41.25</v>
      </c>
      <c r="F117" s="2">
        <v>4.1539999999999997E-3</v>
      </c>
      <c r="G117" s="2">
        <v>23013</v>
      </c>
      <c r="H117" s="2">
        <v>7509</v>
      </c>
      <c r="I117" s="2">
        <f t="shared" si="15"/>
        <v>30522</v>
      </c>
      <c r="J117" s="2">
        <v>1</v>
      </c>
      <c r="K117" s="2" t="s">
        <v>8</v>
      </c>
      <c r="L117" s="2" t="s">
        <v>10</v>
      </c>
      <c r="M117" s="2" t="s">
        <v>12</v>
      </c>
      <c r="N117" s="2" t="s">
        <v>12</v>
      </c>
      <c r="O117" s="2"/>
      <c r="P117" s="2">
        <f>IF(OR('Ground-Truth'!$C$2&lt;&gt;"Ja",'Ground-Truth'!$D$2=""),"",IF(TEXT(K117,"0")=TEXT('Ground-Truth'!$D$2,"0"),1,0))</f>
        <v>1</v>
      </c>
      <c r="Q117" s="2">
        <f>IF(OR('Ground-Truth'!$C$3&lt;&gt;"Ja",'Ground-Truth'!$D$3=""),"",IF(TEXT(L117,"0")=TEXT('Ground-Truth'!$D$3,"0"),1,0))</f>
        <v>1</v>
      </c>
      <c r="R117" s="2">
        <f>IF(OR('Ground-Truth'!$C$4&lt;&gt;"Ja",'Ground-Truth'!$D$4=""),"",IF(TEXT(M117,"0")=TEXT('Ground-Truth'!$D$4,"0"),1,0))</f>
        <v>1</v>
      </c>
      <c r="S117" s="2" t="str">
        <f>IF(OR('Ground-Truth'!$C$5&lt;&gt;"Ja",'Ground-Truth'!$D$5=""),"",IF(TEXT(N117,"0")=TEXT('Ground-Truth'!$D$5,"0"),1,0))</f>
        <v/>
      </c>
      <c r="T117" s="2" t="str">
        <f>IF(OR('Ground-Truth'!$C$6&lt;&gt;"Ja",'Ground-Truth'!$D$6=""),"",IF(TEXT(O117,"0")=TEXT('Ground-Truth'!$D$6,"0"),1,0))</f>
        <v/>
      </c>
      <c r="U117" s="2">
        <f t="shared" si="16"/>
        <v>3</v>
      </c>
      <c r="V117" s="2">
        <f t="shared" si="17"/>
        <v>3</v>
      </c>
      <c r="W117" s="2">
        <f t="shared" si="18"/>
        <v>100</v>
      </c>
      <c r="X117" s="4" t="str">
        <f t="shared" si="19"/>
        <v>gpt-5-nano_C6_BatchOnly</v>
      </c>
    </row>
    <row r="118" spans="1:24" ht="15" customHeight="1" x14ac:dyDescent="0.25">
      <c r="A118" s="3" t="s">
        <v>55</v>
      </c>
      <c r="B118" s="2" t="s">
        <v>56</v>
      </c>
      <c r="C118" s="2" t="s">
        <v>49</v>
      </c>
      <c r="D118" s="2">
        <v>2</v>
      </c>
      <c r="E118" s="2">
        <v>40.57</v>
      </c>
      <c r="F118" s="2">
        <v>4.4799999999999996E-3</v>
      </c>
      <c r="G118" s="2">
        <v>23013</v>
      </c>
      <c r="H118" s="2">
        <v>8324</v>
      </c>
      <c r="I118" s="2">
        <f t="shared" si="15"/>
        <v>31337</v>
      </c>
      <c r="J118" s="2">
        <v>1</v>
      </c>
      <c r="K118" s="2" t="s">
        <v>8</v>
      </c>
      <c r="L118" s="2" t="s">
        <v>10</v>
      </c>
      <c r="M118" s="2" t="s">
        <v>12</v>
      </c>
      <c r="N118" s="2" t="s">
        <v>43</v>
      </c>
      <c r="O118" s="2" t="s">
        <v>15</v>
      </c>
      <c r="P118" s="2">
        <f>IF(OR('Ground-Truth'!$C$2&lt;&gt;"Ja",'Ground-Truth'!$D$2=""),"",IF(TEXT(K118,"0")=TEXT('Ground-Truth'!$D$2,"0"),1,0))</f>
        <v>1</v>
      </c>
      <c r="Q118" s="2">
        <f>IF(OR('Ground-Truth'!$C$3&lt;&gt;"Ja",'Ground-Truth'!$D$3=""),"",IF(TEXT(L118,"0")=TEXT('Ground-Truth'!$D$3,"0"),1,0))</f>
        <v>1</v>
      </c>
      <c r="R118" s="2">
        <f>IF(OR('Ground-Truth'!$C$4&lt;&gt;"Ja",'Ground-Truth'!$D$4=""),"",IF(TEXT(M118,"0")=TEXT('Ground-Truth'!$D$4,"0"),1,0))</f>
        <v>1</v>
      </c>
      <c r="S118" s="2" t="str">
        <f>IF(OR('Ground-Truth'!$C$5&lt;&gt;"Ja",'Ground-Truth'!$D$5=""),"",IF(TEXT(N118,"0")=TEXT('Ground-Truth'!$D$5,"0"),1,0))</f>
        <v/>
      </c>
      <c r="T118" s="2" t="str">
        <f>IF(OR('Ground-Truth'!$C$6&lt;&gt;"Ja",'Ground-Truth'!$D$6=""),"",IF(TEXT(O118,"0")=TEXT('Ground-Truth'!$D$6,"0"),1,0))</f>
        <v/>
      </c>
      <c r="U118" s="2">
        <f t="shared" si="16"/>
        <v>3</v>
      </c>
      <c r="V118" s="2">
        <f t="shared" si="17"/>
        <v>3</v>
      </c>
      <c r="W118" s="2">
        <f t="shared" si="18"/>
        <v>100</v>
      </c>
      <c r="X118" s="4" t="str">
        <f t="shared" si="19"/>
        <v>gpt-5-nano_C6_BatchOnly</v>
      </c>
    </row>
    <row r="119" spans="1:24" ht="15" customHeight="1" x14ac:dyDescent="0.25">
      <c r="A119" s="3" t="s">
        <v>55</v>
      </c>
      <c r="B119" s="2" t="s">
        <v>56</v>
      </c>
      <c r="C119" s="2" t="s">
        <v>49</v>
      </c>
      <c r="D119" s="2">
        <v>3</v>
      </c>
      <c r="E119" s="2">
        <v>53.07</v>
      </c>
      <c r="F119" s="2">
        <v>5.0229999999999997E-3</v>
      </c>
      <c r="G119" s="2">
        <v>23013</v>
      </c>
      <c r="H119" s="2">
        <v>9682</v>
      </c>
      <c r="I119" s="2">
        <f t="shared" si="15"/>
        <v>32695</v>
      </c>
      <c r="J119" s="2">
        <v>1</v>
      </c>
      <c r="K119" s="2" t="s">
        <v>43</v>
      </c>
      <c r="L119" s="2" t="s">
        <v>10</v>
      </c>
      <c r="M119" s="2" t="s">
        <v>12</v>
      </c>
      <c r="N119" s="2" t="s">
        <v>12</v>
      </c>
      <c r="O119" s="2" t="s">
        <v>15</v>
      </c>
      <c r="P119" s="2">
        <f>IF(OR('Ground-Truth'!$C$2&lt;&gt;"Ja",'Ground-Truth'!$D$2=""),"",IF(TEXT(K119,"0")=TEXT('Ground-Truth'!$D$2,"0"),1,0))</f>
        <v>0</v>
      </c>
      <c r="Q119" s="2">
        <f>IF(OR('Ground-Truth'!$C$3&lt;&gt;"Ja",'Ground-Truth'!$D$3=""),"",IF(TEXT(L119,"0")=TEXT('Ground-Truth'!$D$3,"0"),1,0))</f>
        <v>1</v>
      </c>
      <c r="R119" s="2">
        <f>IF(OR('Ground-Truth'!$C$4&lt;&gt;"Ja",'Ground-Truth'!$D$4=""),"",IF(TEXT(M119,"0")=TEXT('Ground-Truth'!$D$4,"0"),1,0))</f>
        <v>1</v>
      </c>
      <c r="S119" s="2" t="str">
        <f>IF(OR('Ground-Truth'!$C$5&lt;&gt;"Ja",'Ground-Truth'!$D$5=""),"",IF(TEXT(N119,"0")=TEXT('Ground-Truth'!$D$5,"0"),1,0))</f>
        <v/>
      </c>
      <c r="T119" s="2" t="str">
        <f>IF(OR('Ground-Truth'!$C$6&lt;&gt;"Ja",'Ground-Truth'!$D$6=""),"",IF(TEXT(O119,"0")=TEXT('Ground-Truth'!$D$6,"0"),1,0))</f>
        <v/>
      </c>
      <c r="U119" s="2">
        <f t="shared" si="16"/>
        <v>2</v>
      </c>
      <c r="V119" s="2">
        <f t="shared" si="17"/>
        <v>3</v>
      </c>
      <c r="W119" s="2">
        <f t="shared" si="18"/>
        <v>66.666666666666657</v>
      </c>
      <c r="X119" s="4" t="str">
        <f t="shared" si="19"/>
        <v>gpt-5-nano_C6_BatchOnly</v>
      </c>
    </row>
    <row r="120" spans="1:24" ht="15" customHeight="1" x14ac:dyDescent="0.25">
      <c r="A120" s="3" t="s">
        <v>55</v>
      </c>
      <c r="B120" s="2" t="s">
        <v>56</v>
      </c>
      <c r="C120" s="2" t="s">
        <v>49</v>
      </c>
      <c r="D120" s="2">
        <v>4</v>
      </c>
      <c r="E120" s="2">
        <v>108.22</v>
      </c>
      <c r="F120" s="2">
        <v>5.7710000000000001E-3</v>
      </c>
      <c r="G120" s="2">
        <v>23013</v>
      </c>
      <c r="H120" s="2">
        <v>11552</v>
      </c>
      <c r="I120" s="2">
        <f t="shared" si="15"/>
        <v>34565</v>
      </c>
      <c r="J120" s="2">
        <v>1</v>
      </c>
      <c r="K120" s="2" t="s">
        <v>8</v>
      </c>
      <c r="L120" s="2" t="s">
        <v>10</v>
      </c>
      <c r="M120" s="2" t="s">
        <v>43</v>
      </c>
      <c r="N120" s="2" t="s">
        <v>43</v>
      </c>
      <c r="O120" s="2" t="s">
        <v>15</v>
      </c>
      <c r="P120" s="2">
        <f>IF(OR('Ground-Truth'!$C$2&lt;&gt;"Ja",'Ground-Truth'!$D$2=""),"",IF(TEXT(K120,"0")=TEXT('Ground-Truth'!$D$2,"0"),1,0))</f>
        <v>1</v>
      </c>
      <c r="Q120" s="2">
        <f>IF(OR('Ground-Truth'!$C$3&lt;&gt;"Ja",'Ground-Truth'!$D$3=""),"",IF(TEXT(L120,"0")=TEXT('Ground-Truth'!$D$3,"0"),1,0))</f>
        <v>1</v>
      </c>
      <c r="R120" s="2">
        <f>IF(OR('Ground-Truth'!$C$4&lt;&gt;"Ja",'Ground-Truth'!$D$4=""),"",IF(TEXT(M120,"0")=TEXT('Ground-Truth'!$D$4,"0"),1,0))</f>
        <v>0</v>
      </c>
      <c r="S120" s="2" t="str">
        <f>IF(OR('Ground-Truth'!$C$5&lt;&gt;"Ja",'Ground-Truth'!$D$5=""),"",IF(TEXT(N120,"0")=TEXT('Ground-Truth'!$D$5,"0"),1,0))</f>
        <v/>
      </c>
      <c r="T120" s="2" t="str">
        <f>IF(OR('Ground-Truth'!$C$6&lt;&gt;"Ja",'Ground-Truth'!$D$6=""),"",IF(TEXT(O120,"0")=TEXT('Ground-Truth'!$D$6,"0"),1,0))</f>
        <v/>
      </c>
      <c r="U120" s="2">
        <f t="shared" si="16"/>
        <v>2</v>
      </c>
      <c r="V120" s="2">
        <f t="shared" si="17"/>
        <v>3</v>
      </c>
      <c r="W120" s="2">
        <f t="shared" si="18"/>
        <v>66.666666666666657</v>
      </c>
      <c r="X120" s="4" t="str">
        <f t="shared" si="19"/>
        <v>gpt-5-nano_C6_BatchOnly</v>
      </c>
    </row>
    <row r="121" spans="1:24" ht="15" customHeight="1" x14ac:dyDescent="0.25">
      <c r="A121" s="3" t="s">
        <v>55</v>
      </c>
      <c r="B121" s="2" t="s">
        <v>56</v>
      </c>
      <c r="C121" s="2" t="s">
        <v>49</v>
      </c>
      <c r="D121" s="2">
        <v>5</v>
      </c>
      <c r="E121" s="2">
        <v>56.38</v>
      </c>
      <c r="F121" s="2">
        <v>4.1190000000000003E-3</v>
      </c>
      <c r="G121" s="2">
        <v>23013</v>
      </c>
      <c r="H121" s="2">
        <v>7420</v>
      </c>
      <c r="I121" s="2">
        <f t="shared" si="15"/>
        <v>30433</v>
      </c>
      <c r="J121" s="2">
        <v>1</v>
      </c>
      <c r="K121" s="2" t="s">
        <v>8</v>
      </c>
      <c r="L121" s="2" t="s">
        <v>10</v>
      </c>
      <c r="M121" s="2" t="s">
        <v>12</v>
      </c>
      <c r="N121" s="2" t="s">
        <v>43</v>
      </c>
      <c r="O121" s="2" t="s">
        <v>15</v>
      </c>
      <c r="P121" s="2">
        <f>IF(OR('Ground-Truth'!$C$2&lt;&gt;"Ja",'Ground-Truth'!$D$2=""),"",IF(TEXT(K121,"0")=TEXT('Ground-Truth'!$D$2,"0"),1,0))</f>
        <v>1</v>
      </c>
      <c r="Q121" s="2">
        <f>IF(OR('Ground-Truth'!$C$3&lt;&gt;"Ja",'Ground-Truth'!$D$3=""),"",IF(TEXT(L121,"0")=TEXT('Ground-Truth'!$D$3,"0"),1,0))</f>
        <v>1</v>
      </c>
      <c r="R121" s="2">
        <f>IF(OR('Ground-Truth'!$C$4&lt;&gt;"Ja",'Ground-Truth'!$D$4=""),"",IF(TEXT(M121,"0")=TEXT('Ground-Truth'!$D$4,"0"),1,0))</f>
        <v>1</v>
      </c>
      <c r="S121" s="2" t="str">
        <f>IF(OR('Ground-Truth'!$C$5&lt;&gt;"Ja",'Ground-Truth'!$D$5=""),"",IF(TEXT(N121,"0")=TEXT('Ground-Truth'!$D$5,"0"),1,0))</f>
        <v/>
      </c>
      <c r="T121" s="2" t="str">
        <f>IF(OR('Ground-Truth'!$C$6&lt;&gt;"Ja",'Ground-Truth'!$D$6=""),"",IF(TEXT(O121,"0")=TEXT('Ground-Truth'!$D$6,"0"),1,0))</f>
        <v/>
      </c>
      <c r="U121" s="2">
        <f t="shared" si="16"/>
        <v>3</v>
      </c>
      <c r="V121" s="2">
        <f t="shared" si="17"/>
        <v>3</v>
      </c>
      <c r="W121" s="2">
        <f t="shared" si="18"/>
        <v>100</v>
      </c>
      <c r="X121" s="4" t="str">
        <f t="shared" si="19"/>
        <v>gpt-5-nano_C6_BatchOnly</v>
      </c>
    </row>
    <row r="122" spans="1:24" ht="15" customHeight="1" x14ac:dyDescent="0.25">
      <c r="A122" s="3" t="s">
        <v>55</v>
      </c>
      <c r="B122" s="2" t="s">
        <v>57</v>
      </c>
      <c r="C122" s="2" t="s">
        <v>49</v>
      </c>
      <c r="D122" s="2">
        <v>1</v>
      </c>
      <c r="E122" s="2">
        <v>151.83000000000001</v>
      </c>
      <c r="F122" s="2">
        <v>1.0727E-2</v>
      </c>
      <c r="G122" s="2">
        <v>6571</v>
      </c>
      <c r="H122" s="2">
        <v>25997</v>
      </c>
      <c r="I122" s="2">
        <f t="shared" si="15"/>
        <v>32568</v>
      </c>
      <c r="J122" s="2">
        <v>5</v>
      </c>
      <c r="K122" s="2" t="s">
        <v>8</v>
      </c>
      <c r="L122" s="2" t="s">
        <v>10</v>
      </c>
      <c r="M122" s="2" t="s">
        <v>12</v>
      </c>
      <c r="N122" s="2" t="s">
        <v>43</v>
      </c>
      <c r="O122" s="2" t="s">
        <v>15</v>
      </c>
      <c r="P122" s="2">
        <f>IF(OR('Ground-Truth'!$C$2&lt;&gt;"Ja",'Ground-Truth'!$D$2=""),"",IF(TEXT(K122,"0")=TEXT('Ground-Truth'!$D$2,"0"),1,0))</f>
        <v>1</v>
      </c>
      <c r="Q122" s="2">
        <f>IF(OR('Ground-Truth'!$C$3&lt;&gt;"Ja",'Ground-Truth'!$D$3=""),"",IF(TEXT(L122,"0")=TEXT('Ground-Truth'!$D$3,"0"),1,0))</f>
        <v>1</v>
      </c>
      <c r="R122" s="2">
        <f>IF(OR('Ground-Truth'!$C$4&lt;&gt;"Ja",'Ground-Truth'!$D$4=""),"",IF(TEXT(M122,"0")=TEXT('Ground-Truth'!$D$4,"0"),1,0))</f>
        <v>1</v>
      </c>
      <c r="S122" s="2" t="str">
        <f>IF(OR('Ground-Truth'!$C$5&lt;&gt;"Ja",'Ground-Truth'!$D$5=""),"",IF(TEXT(N122,"0")=TEXT('Ground-Truth'!$D$5,"0"),1,0))</f>
        <v/>
      </c>
      <c r="T122" s="2" t="str">
        <f>IF(OR('Ground-Truth'!$C$6&lt;&gt;"Ja",'Ground-Truth'!$D$6=""),"",IF(TEXT(O122,"0")=TEXT('Ground-Truth'!$D$6,"0"),1,0))</f>
        <v/>
      </c>
      <c r="U122" s="2">
        <f t="shared" si="16"/>
        <v>3</v>
      </c>
      <c r="V122" s="2">
        <f t="shared" si="17"/>
        <v>3</v>
      </c>
      <c r="W122" s="2">
        <f t="shared" si="18"/>
        <v>100</v>
      </c>
      <c r="X122" s="4" t="str">
        <f t="shared" si="19"/>
        <v>gpt-5-nano_C7_FilterOnly</v>
      </c>
    </row>
    <row r="123" spans="1:24" ht="15" customHeight="1" x14ac:dyDescent="0.25">
      <c r="A123" s="3" t="s">
        <v>55</v>
      </c>
      <c r="B123" s="2" t="s">
        <v>57</v>
      </c>
      <c r="C123" s="2" t="s">
        <v>49</v>
      </c>
      <c r="D123" s="2">
        <v>2</v>
      </c>
      <c r="E123" s="2">
        <v>114.49</v>
      </c>
      <c r="F123" s="2">
        <v>8.7869999999999997E-3</v>
      </c>
      <c r="G123" s="2">
        <v>6571</v>
      </c>
      <c r="H123" s="2">
        <v>21145</v>
      </c>
      <c r="I123" s="2">
        <f t="shared" si="15"/>
        <v>27716</v>
      </c>
      <c r="J123" s="2">
        <v>5</v>
      </c>
      <c r="K123" s="2" t="s">
        <v>43</v>
      </c>
      <c r="L123" s="2" t="s">
        <v>10</v>
      </c>
      <c r="M123" s="2" t="s">
        <v>59</v>
      </c>
      <c r="N123" s="2" t="s">
        <v>12</v>
      </c>
      <c r="O123" s="2" t="s">
        <v>15</v>
      </c>
      <c r="P123" s="2">
        <f>IF(OR('Ground-Truth'!$C$2&lt;&gt;"Ja",'Ground-Truth'!$D$2=""),"",IF(TEXT(K123,"0")=TEXT('Ground-Truth'!$D$2,"0"),1,0))</f>
        <v>0</v>
      </c>
      <c r="Q123" s="2">
        <f>IF(OR('Ground-Truth'!$C$3&lt;&gt;"Ja",'Ground-Truth'!$D$3=""),"",IF(TEXT(L123,"0")=TEXT('Ground-Truth'!$D$3,"0"),1,0))</f>
        <v>1</v>
      </c>
      <c r="R123" s="2">
        <f>IF(OR('Ground-Truth'!$C$4&lt;&gt;"Ja",'Ground-Truth'!$D$4=""),"",IF(TEXT(M123,"0")=TEXT('Ground-Truth'!$D$4,"0"),1,0))</f>
        <v>0</v>
      </c>
      <c r="S123" s="2" t="str">
        <f>IF(OR('Ground-Truth'!$C$5&lt;&gt;"Ja",'Ground-Truth'!$D$5=""),"",IF(TEXT(N123,"0")=TEXT('Ground-Truth'!$D$5,"0"),1,0))</f>
        <v/>
      </c>
      <c r="T123" s="2" t="str">
        <f>IF(OR('Ground-Truth'!$C$6&lt;&gt;"Ja",'Ground-Truth'!$D$6=""),"",IF(TEXT(O123,"0")=TEXT('Ground-Truth'!$D$6,"0"),1,0))</f>
        <v/>
      </c>
      <c r="U123" s="2">
        <f t="shared" si="16"/>
        <v>1</v>
      </c>
      <c r="V123" s="2">
        <f t="shared" si="17"/>
        <v>3</v>
      </c>
      <c r="W123" s="2">
        <f t="shared" si="18"/>
        <v>33.333333333333329</v>
      </c>
      <c r="X123" s="4" t="str">
        <f t="shared" si="19"/>
        <v>gpt-5-nano_C7_FilterOnly</v>
      </c>
    </row>
    <row r="124" spans="1:24" ht="15" customHeight="1" x14ac:dyDescent="0.25">
      <c r="A124" s="3" t="s">
        <v>55</v>
      </c>
      <c r="B124" s="2" t="s">
        <v>57</v>
      </c>
      <c r="C124" s="2" t="s">
        <v>49</v>
      </c>
      <c r="D124" s="2">
        <v>3</v>
      </c>
      <c r="E124" s="2">
        <v>183.97</v>
      </c>
      <c r="F124" s="2">
        <v>9.4199999999999996E-3</v>
      </c>
      <c r="G124" s="2">
        <v>6571</v>
      </c>
      <c r="H124" s="2">
        <v>22729</v>
      </c>
      <c r="I124" s="2">
        <f t="shared" si="15"/>
        <v>29300</v>
      </c>
      <c r="J124" s="2">
        <v>5</v>
      </c>
      <c r="K124" s="2" t="s">
        <v>8</v>
      </c>
      <c r="L124" s="2" t="s">
        <v>10</v>
      </c>
      <c r="M124" s="2" t="s">
        <v>12</v>
      </c>
      <c r="N124" s="2" t="s">
        <v>12</v>
      </c>
      <c r="O124" s="2" t="s">
        <v>15</v>
      </c>
      <c r="P124" s="2">
        <f>IF(OR('Ground-Truth'!$C$2&lt;&gt;"Ja",'Ground-Truth'!$D$2=""),"",IF(TEXT(K124,"0")=TEXT('Ground-Truth'!$D$2,"0"),1,0))</f>
        <v>1</v>
      </c>
      <c r="Q124" s="2">
        <f>IF(OR('Ground-Truth'!$C$3&lt;&gt;"Ja",'Ground-Truth'!$D$3=""),"",IF(TEXT(L124,"0")=TEXT('Ground-Truth'!$D$3,"0"),1,0))</f>
        <v>1</v>
      </c>
      <c r="R124" s="2">
        <f>IF(OR('Ground-Truth'!$C$4&lt;&gt;"Ja",'Ground-Truth'!$D$4=""),"",IF(TEXT(M124,"0")=TEXT('Ground-Truth'!$D$4,"0"),1,0))</f>
        <v>1</v>
      </c>
      <c r="S124" s="2" t="str">
        <f>IF(OR('Ground-Truth'!$C$5&lt;&gt;"Ja",'Ground-Truth'!$D$5=""),"",IF(TEXT(N124,"0")=TEXT('Ground-Truth'!$D$5,"0"),1,0))</f>
        <v/>
      </c>
      <c r="T124" s="2" t="str">
        <f>IF(OR('Ground-Truth'!$C$6&lt;&gt;"Ja",'Ground-Truth'!$D$6=""),"",IF(TEXT(O124,"0")=TEXT('Ground-Truth'!$D$6,"0"),1,0))</f>
        <v/>
      </c>
      <c r="U124" s="2">
        <f t="shared" si="16"/>
        <v>3</v>
      </c>
      <c r="V124" s="2">
        <f t="shared" si="17"/>
        <v>3</v>
      </c>
      <c r="W124" s="2">
        <f t="shared" si="18"/>
        <v>100</v>
      </c>
      <c r="X124" s="4" t="str">
        <f t="shared" si="19"/>
        <v>gpt-5-nano_C7_FilterOnly</v>
      </c>
    </row>
    <row r="125" spans="1:24" ht="15" customHeight="1" x14ac:dyDescent="0.25">
      <c r="A125" s="3" t="s">
        <v>55</v>
      </c>
      <c r="B125" s="2" t="s">
        <v>57</v>
      </c>
      <c r="C125" s="2" t="s">
        <v>49</v>
      </c>
      <c r="D125" s="2">
        <v>4</v>
      </c>
      <c r="E125" s="2">
        <v>241.68</v>
      </c>
      <c r="F125" s="2">
        <v>8.2649999999999998E-3</v>
      </c>
      <c r="G125" s="2">
        <v>6571</v>
      </c>
      <c r="H125" s="2">
        <v>19842</v>
      </c>
      <c r="I125" s="2">
        <f t="shared" si="15"/>
        <v>26413</v>
      </c>
      <c r="J125" s="2">
        <v>5</v>
      </c>
      <c r="K125" s="2" t="s">
        <v>43</v>
      </c>
      <c r="L125" s="2" t="s">
        <v>10</v>
      </c>
      <c r="M125" s="2" t="s">
        <v>12</v>
      </c>
      <c r="N125" s="2" t="s">
        <v>12</v>
      </c>
      <c r="O125" s="2" t="s">
        <v>15</v>
      </c>
      <c r="P125" s="2">
        <f>IF(OR('Ground-Truth'!$C$2&lt;&gt;"Ja",'Ground-Truth'!$D$2=""),"",IF(TEXT(K125,"0")=TEXT('Ground-Truth'!$D$2,"0"),1,0))</f>
        <v>0</v>
      </c>
      <c r="Q125" s="2">
        <f>IF(OR('Ground-Truth'!$C$3&lt;&gt;"Ja",'Ground-Truth'!$D$3=""),"",IF(TEXT(L125,"0")=TEXT('Ground-Truth'!$D$3,"0"),1,0))</f>
        <v>1</v>
      </c>
      <c r="R125" s="2">
        <f>IF(OR('Ground-Truth'!$C$4&lt;&gt;"Ja",'Ground-Truth'!$D$4=""),"",IF(TEXT(M125,"0")=TEXT('Ground-Truth'!$D$4,"0"),1,0))</f>
        <v>1</v>
      </c>
      <c r="S125" s="2" t="str">
        <f>IF(OR('Ground-Truth'!$C$5&lt;&gt;"Ja",'Ground-Truth'!$D$5=""),"",IF(TEXT(N125,"0")=TEXT('Ground-Truth'!$D$5,"0"),1,0))</f>
        <v/>
      </c>
      <c r="T125" s="2" t="str">
        <f>IF(OR('Ground-Truth'!$C$6&lt;&gt;"Ja",'Ground-Truth'!$D$6=""),"",IF(TEXT(O125,"0")=TEXT('Ground-Truth'!$D$6,"0"),1,0))</f>
        <v/>
      </c>
      <c r="U125" s="2">
        <f t="shared" si="16"/>
        <v>2</v>
      </c>
      <c r="V125" s="2">
        <f t="shared" si="17"/>
        <v>3</v>
      </c>
      <c r="W125" s="2">
        <f t="shared" si="18"/>
        <v>66.666666666666657</v>
      </c>
      <c r="X125" s="4" t="str">
        <f t="shared" si="19"/>
        <v>gpt-5-nano_C7_FilterOnly</v>
      </c>
    </row>
    <row r="126" spans="1:24" ht="15" customHeight="1" x14ac:dyDescent="0.25">
      <c r="A126" s="3" t="s">
        <v>55</v>
      </c>
      <c r="B126" s="2" t="s">
        <v>57</v>
      </c>
      <c r="C126" s="2" t="s">
        <v>49</v>
      </c>
      <c r="D126" s="2">
        <v>5</v>
      </c>
      <c r="E126" s="2">
        <v>189.3</v>
      </c>
      <c r="F126" s="2">
        <v>8.6890000000000005E-3</v>
      </c>
      <c r="G126" s="2">
        <v>6571</v>
      </c>
      <c r="H126" s="2">
        <v>20900</v>
      </c>
      <c r="I126" s="2">
        <f t="shared" si="15"/>
        <v>27471</v>
      </c>
      <c r="J126" s="2">
        <v>5</v>
      </c>
      <c r="K126" s="2" t="s">
        <v>8</v>
      </c>
      <c r="L126" s="2" t="s">
        <v>10</v>
      </c>
      <c r="M126" s="2" t="s">
        <v>12</v>
      </c>
      <c r="N126" s="2" t="s">
        <v>12</v>
      </c>
      <c r="O126" s="2" t="s">
        <v>15</v>
      </c>
      <c r="P126" s="2">
        <f>IF(OR('Ground-Truth'!$C$2&lt;&gt;"Ja",'Ground-Truth'!$D$2=""),"",IF(TEXT(K126,"0")=TEXT('Ground-Truth'!$D$2,"0"),1,0))</f>
        <v>1</v>
      </c>
      <c r="Q126" s="2">
        <f>IF(OR('Ground-Truth'!$C$3&lt;&gt;"Ja",'Ground-Truth'!$D$3=""),"",IF(TEXT(L126,"0")=TEXT('Ground-Truth'!$D$3,"0"),1,0))</f>
        <v>1</v>
      </c>
      <c r="R126" s="2">
        <f>IF(OR('Ground-Truth'!$C$4&lt;&gt;"Ja",'Ground-Truth'!$D$4=""),"",IF(TEXT(M126,"0")=TEXT('Ground-Truth'!$D$4,"0"),1,0))</f>
        <v>1</v>
      </c>
      <c r="S126" s="2" t="str">
        <f>IF(OR('Ground-Truth'!$C$5&lt;&gt;"Ja",'Ground-Truth'!$D$5=""),"",IF(TEXT(N126,"0")=TEXT('Ground-Truth'!$D$5,"0"),1,0))</f>
        <v/>
      </c>
      <c r="T126" s="2" t="str">
        <f>IF(OR('Ground-Truth'!$C$6&lt;&gt;"Ja",'Ground-Truth'!$D$6=""),"",IF(TEXT(O126,"0")=TEXT('Ground-Truth'!$D$6,"0"),1,0))</f>
        <v/>
      </c>
      <c r="U126" s="2">
        <f t="shared" si="16"/>
        <v>3</v>
      </c>
      <c r="V126" s="2">
        <f t="shared" si="17"/>
        <v>3</v>
      </c>
      <c r="W126" s="2">
        <f t="shared" si="18"/>
        <v>100</v>
      </c>
      <c r="X126" s="4" t="str">
        <f t="shared" si="19"/>
        <v>gpt-5-nano_C7_FilterOnly</v>
      </c>
    </row>
    <row r="127" spans="1:24" ht="15" customHeight="1" x14ac:dyDescent="0.25">
      <c r="A127" s="3" t="s">
        <v>55</v>
      </c>
      <c r="B127" s="2" t="s">
        <v>58</v>
      </c>
      <c r="C127" s="2" t="s">
        <v>49</v>
      </c>
      <c r="D127" s="2">
        <v>1</v>
      </c>
      <c r="E127" s="2">
        <v>42.68</v>
      </c>
      <c r="F127" s="2">
        <v>2.9150000000000001E-3</v>
      </c>
      <c r="G127" s="2">
        <v>4418</v>
      </c>
      <c r="H127" s="2">
        <v>6735</v>
      </c>
      <c r="I127" s="2">
        <f t="shared" si="15"/>
        <v>11153</v>
      </c>
      <c r="J127" s="2">
        <v>1</v>
      </c>
      <c r="K127" s="2" t="s">
        <v>43</v>
      </c>
      <c r="L127" s="2" t="s">
        <v>10</v>
      </c>
      <c r="M127" s="2" t="s">
        <v>12</v>
      </c>
      <c r="N127" s="2" t="s">
        <v>12</v>
      </c>
      <c r="O127" s="2" t="s">
        <v>15</v>
      </c>
      <c r="P127" s="2">
        <f>IF(OR('Ground-Truth'!$C$2&lt;&gt;"Ja",'Ground-Truth'!$D$2=""),"",IF(TEXT(K127,"0")=TEXT('Ground-Truth'!$D$2,"0"),1,0))</f>
        <v>0</v>
      </c>
      <c r="Q127" s="2">
        <f>IF(OR('Ground-Truth'!$C$3&lt;&gt;"Ja",'Ground-Truth'!$D$3=""),"",IF(TEXT(L127,"0")=TEXT('Ground-Truth'!$D$3,"0"),1,0))</f>
        <v>1</v>
      </c>
      <c r="R127" s="2">
        <f>IF(OR('Ground-Truth'!$C$4&lt;&gt;"Ja",'Ground-Truth'!$D$4=""),"",IF(TEXT(M127,"0")=TEXT('Ground-Truth'!$D$4,"0"),1,0))</f>
        <v>1</v>
      </c>
      <c r="S127" s="2" t="str">
        <f>IF(OR('Ground-Truth'!$C$5&lt;&gt;"Ja",'Ground-Truth'!$D$5=""),"",IF(TEXT(N127,"0")=TEXT('Ground-Truth'!$D$5,"0"),1,0))</f>
        <v/>
      </c>
      <c r="T127" s="2" t="str">
        <f>IF(OR('Ground-Truth'!$C$6&lt;&gt;"Ja",'Ground-Truth'!$D$6=""),"",IF(TEXT(O127,"0")=TEXT('Ground-Truth'!$D$6,"0"),1,0))</f>
        <v/>
      </c>
      <c r="U127" s="2">
        <f t="shared" si="16"/>
        <v>2</v>
      </c>
      <c r="V127" s="2">
        <f t="shared" si="17"/>
        <v>3</v>
      </c>
      <c r="W127" s="2">
        <f t="shared" si="18"/>
        <v>66.666666666666657</v>
      </c>
      <c r="X127" s="4" t="str">
        <f t="shared" si="19"/>
        <v>gpt-5-nano_C8_BatchFiltered_NoName</v>
      </c>
    </row>
    <row r="128" spans="1:24" ht="15" customHeight="1" x14ac:dyDescent="0.25">
      <c r="A128" s="3" t="s">
        <v>55</v>
      </c>
      <c r="B128" s="2" t="s">
        <v>58</v>
      </c>
      <c r="C128" s="2" t="s">
        <v>49</v>
      </c>
      <c r="D128" s="2">
        <v>2</v>
      </c>
      <c r="E128" s="2">
        <v>41.57</v>
      </c>
      <c r="F128" s="2">
        <v>3.019E-3</v>
      </c>
      <c r="G128" s="2">
        <v>4418</v>
      </c>
      <c r="H128" s="2">
        <v>6996</v>
      </c>
      <c r="I128" s="2">
        <f t="shared" si="15"/>
        <v>11414</v>
      </c>
      <c r="J128" s="2">
        <v>1</v>
      </c>
      <c r="K128" s="2" t="s">
        <v>8</v>
      </c>
      <c r="L128" s="2" t="s">
        <v>10</v>
      </c>
      <c r="M128" s="2" t="s">
        <v>12</v>
      </c>
      <c r="N128" s="2" t="s">
        <v>12</v>
      </c>
      <c r="O128" s="2"/>
      <c r="P128" s="2">
        <f>IF(OR('Ground-Truth'!$C$2&lt;&gt;"Ja",'Ground-Truth'!$D$2=""),"",IF(TEXT(K128,"0")=TEXT('Ground-Truth'!$D$2,"0"),1,0))</f>
        <v>1</v>
      </c>
      <c r="Q128" s="2">
        <f>IF(OR('Ground-Truth'!$C$3&lt;&gt;"Ja",'Ground-Truth'!$D$3=""),"",IF(TEXT(L128,"0")=TEXT('Ground-Truth'!$D$3,"0"),1,0))</f>
        <v>1</v>
      </c>
      <c r="R128" s="2">
        <f>IF(OR('Ground-Truth'!$C$4&lt;&gt;"Ja",'Ground-Truth'!$D$4=""),"",IF(TEXT(M128,"0")=TEXT('Ground-Truth'!$D$4,"0"),1,0))</f>
        <v>1</v>
      </c>
      <c r="S128" s="2" t="str">
        <f>IF(OR('Ground-Truth'!$C$5&lt;&gt;"Ja",'Ground-Truth'!$D$5=""),"",IF(TEXT(N128,"0")=TEXT('Ground-Truth'!$D$5,"0"),1,0))</f>
        <v/>
      </c>
      <c r="T128" s="2" t="str">
        <f>IF(OR('Ground-Truth'!$C$6&lt;&gt;"Ja",'Ground-Truth'!$D$6=""),"",IF(TEXT(O128,"0")=TEXT('Ground-Truth'!$D$6,"0"),1,0))</f>
        <v/>
      </c>
      <c r="U128" s="2">
        <f t="shared" si="16"/>
        <v>3</v>
      </c>
      <c r="V128" s="2">
        <f t="shared" si="17"/>
        <v>3</v>
      </c>
      <c r="W128" s="2">
        <f t="shared" si="18"/>
        <v>100</v>
      </c>
      <c r="X128" s="4" t="str">
        <f t="shared" si="19"/>
        <v>gpt-5-nano_C8_BatchFiltered_NoName</v>
      </c>
    </row>
    <row r="129" spans="1:24" ht="15" customHeight="1" x14ac:dyDescent="0.25">
      <c r="A129" s="3" t="s">
        <v>55</v>
      </c>
      <c r="B129" s="2" t="s">
        <v>58</v>
      </c>
      <c r="C129" s="2" t="s">
        <v>49</v>
      </c>
      <c r="D129" s="2">
        <v>3</v>
      </c>
      <c r="E129" s="2">
        <v>78.790000000000006</v>
      </c>
      <c r="F129" s="2">
        <v>4.0819999999999997E-3</v>
      </c>
      <c r="G129" s="2">
        <v>4418</v>
      </c>
      <c r="H129" s="2">
        <v>9653</v>
      </c>
      <c r="I129" s="2">
        <f t="shared" si="15"/>
        <v>14071</v>
      </c>
      <c r="J129" s="2">
        <v>1</v>
      </c>
      <c r="K129" s="2" t="s">
        <v>8</v>
      </c>
      <c r="L129" s="2" t="s">
        <v>10</v>
      </c>
      <c r="M129" s="2" t="s">
        <v>12</v>
      </c>
      <c r="N129" s="2" t="s">
        <v>12</v>
      </c>
      <c r="O129" s="2" t="s">
        <v>15</v>
      </c>
      <c r="P129" s="2">
        <f>IF(OR('Ground-Truth'!$C$2&lt;&gt;"Ja",'Ground-Truth'!$D$2=""),"",IF(TEXT(K129,"0")=TEXT('Ground-Truth'!$D$2,"0"),1,0))</f>
        <v>1</v>
      </c>
      <c r="Q129" s="2">
        <f>IF(OR('Ground-Truth'!$C$3&lt;&gt;"Ja",'Ground-Truth'!$D$3=""),"",IF(TEXT(L129,"0")=TEXT('Ground-Truth'!$D$3,"0"),1,0))</f>
        <v>1</v>
      </c>
      <c r="R129" s="2">
        <f>IF(OR('Ground-Truth'!$C$4&lt;&gt;"Ja",'Ground-Truth'!$D$4=""),"",IF(TEXT(M129,"0")=TEXT('Ground-Truth'!$D$4,"0"),1,0))</f>
        <v>1</v>
      </c>
      <c r="S129" s="2" t="str">
        <f>IF(OR('Ground-Truth'!$C$5&lt;&gt;"Ja",'Ground-Truth'!$D$5=""),"",IF(TEXT(N129,"0")=TEXT('Ground-Truth'!$D$5,"0"),1,0))</f>
        <v/>
      </c>
      <c r="T129" s="2" t="str">
        <f>IF(OR('Ground-Truth'!$C$6&lt;&gt;"Ja",'Ground-Truth'!$D$6=""),"",IF(TEXT(O129,"0")=TEXT('Ground-Truth'!$D$6,"0"),1,0))</f>
        <v/>
      </c>
      <c r="U129" s="2">
        <f t="shared" si="16"/>
        <v>3</v>
      </c>
      <c r="V129" s="2">
        <f t="shared" si="17"/>
        <v>3</v>
      </c>
      <c r="W129" s="2">
        <f t="shared" si="18"/>
        <v>100</v>
      </c>
      <c r="X129" s="4" t="str">
        <f t="shared" si="19"/>
        <v>gpt-5-nano_C8_BatchFiltered_NoName</v>
      </c>
    </row>
    <row r="130" spans="1:24" ht="15" customHeight="1" x14ac:dyDescent="0.25">
      <c r="A130" s="3" t="s">
        <v>55</v>
      </c>
      <c r="B130" s="2" t="s">
        <v>58</v>
      </c>
      <c r="C130" s="2" t="s">
        <v>49</v>
      </c>
      <c r="D130" s="2">
        <v>4</v>
      </c>
      <c r="E130" s="2">
        <v>52.59</v>
      </c>
      <c r="F130" s="2">
        <v>3.8149999999999998E-3</v>
      </c>
      <c r="G130" s="2">
        <v>4418</v>
      </c>
      <c r="H130" s="2">
        <v>8985</v>
      </c>
      <c r="I130" s="2">
        <f t="shared" ref="I130:I161" si="20">G130+H130</f>
        <v>13403</v>
      </c>
      <c r="J130" s="2">
        <v>1</v>
      </c>
      <c r="K130" s="2" t="s">
        <v>43</v>
      </c>
      <c r="L130" s="2" t="s">
        <v>10</v>
      </c>
      <c r="M130" s="2" t="s">
        <v>12</v>
      </c>
      <c r="N130" s="2" t="s">
        <v>12</v>
      </c>
      <c r="O130" s="2" t="s">
        <v>60</v>
      </c>
      <c r="P130" s="2">
        <f>IF(OR('Ground-Truth'!$C$2&lt;&gt;"Ja",'Ground-Truth'!$D$2=""),"",IF(TEXT(K130,"0")=TEXT('Ground-Truth'!$D$2,"0"),1,0))</f>
        <v>0</v>
      </c>
      <c r="Q130" s="2">
        <f>IF(OR('Ground-Truth'!$C$3&lt;&gt;"Ja",'Ground-Truth'!$D$3=""),"",IF(TEXT(L130,"0")=TEXT('Ground-Truth'!$D$3,"0"),1,0))</f>
        <v>1</v>
      </c>
      <c r="R130" s="2">
        <f>IF(OR('Ground-Truth'!$C$4&lt;&gt;"Ja",'Ground-Truth'!$D$4=""),"",IF(TEXT(M130,"0")=TEXT('Ground-Truth'!$D$4,"0"),1,0))</f>
        <v>1</v>
      </c>
      <c r="S130" s="2" t="str">
        <f>IF(OR('Ground-Truth'!$C$5&lt;&gt;"Ja",'Ground-Truth'!$D$5=""),"",IF(TEXT(N130,"0")=TEXT('Ground-Truth'!$D$5,"0"),1,0))</f>
        <v/>
      </c>
      <c r="T130" s="2" t="str">
        <f>IF(OR('Ground-Truth'!$C$6&lt;&gt;"Ja",'Ground-Truth'!$D$6=""),"",IF(TEXT(O130,"0")=TEXT('Ground-Truth'!$D$6,"0"),1,0))</f>
        <v/>
      </c>
      <c r="U130" s="2">
        <f t="shared" ref="U130:U161" si="21">SUM(P130:T130)</f>
        <v>2</v>
      </c>
      <c r="V130" s="2">
        <f t="shared" ref="V130:V161" si="22">COUNT(P130:T130)</f>
        <v>3</v>
      </c>
      <c r="W130" s="2">
        <f t="shared" ref="W130:W161" si="23">IF(V130=0,0,U130/V130*100)</f>
        <v>66.666666666666657</v>
      </c>
      <c r="X130" s="4" t="str">
        <f t="shared" ref="X130:X161" si="24">C130&amp;"_"&amp;B130</f>
        <v>gpt-5-nano_C8_BatchFiltered_NoName</v>
      </c>
    </row>
    <row r="131" spans="1:24" ht="15" customHeight="1" x14ac:dyDescent="0.25">
      <c r="A131" s="3" t="s">
        <v>55</v>
      </c>
      <c r="B131" s="2" t="s">
        <v>58</v>
      </c>
      <c r="C131" s="2" t="s">
        <v>49</v>
      </c>
      <c r="D131" s="2">
        <v>5</v>
      </c>
      <c r="E131" s="2">
        <v>74.94</v>
      </c>
      <c r="F131" s="2">
        <v>4.169E-3</v>
      </c>
      <c r="G131" s="2">
        <v>4418</v>
      </c>
      <c r="H131" s="2">
        <v>9871</v>
      </c>
      <c r="I131" s="2">
        <f t="shared" si="20"/>
        <v>14289</v>
      </c>
      <c r="J131" s="2">
        <v>1</v>
      </c>
      <c r="K131" s="2" t="s">
        <v>8</v>
      </c>
      <c r="L131" s="2" t="s">
        <v>10</v>
      </c>
      <c r="M131" s="2" t="s">
        <v>12</v>
      </c>
      <c r="N131" s="2" t="s">
        <v>12</v>
      </c>
      <c r="O131" s="2" t="s">
        <v>15</v>
      </c>
      <c r="P131" s="2">
        <f>IF(OR('Ground-Truth'!$C$2&lt;&gt;"Ja",'Ground-Truth'!$D$2=""),"",IF(TEXT(K131,"0")=TEXT('Ground-Truth'!$D$2,"0"),1,0))</f>
        <v>1</v>
      </c>
      <c r="Q131" s="2">
        <f>IF(OR('Ground-Truth'!$C$3&lt;&gt;"Ja",'Ground-Truth'!$D$3=""),"",IF(TEXT(L131,"0")=TEXT('Ground-Truth'!$D$3,"0"),1,0))</f>
        <v>1</v>
      </c>
      <c r="R131" s="2">
        <f>IF(OR('Ground-Truth'!$C$4&lt;&gt;"Ja",'Ground-Truth'!$D$4=""),"",IF(TEXT(M131,"0")=TEXT('Ground-Truth'!$D$4,"0"),1,0))</f>
        <v>1</v>
      </c>
      <c r="S131" s="2" t="str">
        <f>IF(OR('Ground-Truth'!$C$5&lt;&gt;"Ja",'Ground-Truth'!$D$5=""),"",IF(TEXT(N131,"0")=TEXT('Ground-Truth'!$D$5,"0"),1,0))</f>
        <v/>
      </c>
      <c r="T131" s="2" t="str">
        <f>IF(OR('Ground-Truth'!$C$6&lt;&gt;"Ja",'Ground-Truth'!$D$6=""),"",IF(TEXT(O131,"0")=TEXT('Ground-Truth'!$D$6,"0"),1,0))</f>
        <v/>
      </c>
      <c r="U131" s="2">
        <f t="shared" si="21"/>
        <v>3</v>
      </c>
      <c r="V131" s="2">
        <f t="shared" si="22"/>
        <v>3</v>
      </c>
      <c r="W131" s="2">
        <f t="shared" si="23"/>
        <v>100</v>
      </c>
      <c r="X131" s="4" t="str">
        <f t="shared" si="24"/>
        <v>gpt-5-nano_C8_BatchFiltered_NoName</v>
      </c>
    </row>
    <row r="132" spans="1:24" ht="15" customHeight="1" x14ac:dyDescent="0.25">
      <c r="A132" s="3" t="s">
        <v>55</v>
      </c>
      <c r="B132" s="2" t="s">
        <v>56</v>
      </c>
      <c r="C132" s="2" t="s">
        <v>52</v>
      </c>
      <c r="D132" s="2">
        <v>1</v>
      </c>
      <c r="E132" s="2">
        <v>10.44</v>
      </c>
      <c r="F132" s="2">
        <v>3.8817999999999998E-2</v>
      </c>
      <c r="G132" s="2">
        <v>23014</v>
      </c>
      <c r="H132" s="2">
        <v>1005</v>
      </c>
      <c r="I132" s="2">
        <f t="shared" si="20"/>
        <v>24019</v>
      </c>
      <c r="J132" s="2">
        <v>1</v>
      </c>
      <c r="K132" s="2" t="s">
        <v>8</v>
      </c>
      <c r="L132" s="2" t="s">
        <v>10</v>
      </c>
      <c r="M132" s="2" t="s">
        <v>12</v>
      </c>
      <c r="N132" s="2" t="s">
        <v>12</v>
      </c>
      <c r="O132" s="2" t="s">
        <v>15</v>
      </c>
      <c r="P132" s="2">
        <f>IF(OR('Ground-Truth'!$C$2&lt;&gt;"Ja",'Ground-Truth'!$D$2=""),"",IF(TEXT(K132,"0")=TEXT('Ground-Truth'!$D$2,"0"),1,0))</f>
        <v>1</v>
      </c>
      <c r="Q132" s="2">
        <f>IF(OR('Ground-Truth'!$C$3&lt;&gt;"Ja",'Ground-Truth'!$D$3=""),"",IF(TEXT(L132,"0")=TEXT('Ground-Truth'!$D$3,"0"),1,0))</f>
        <v>1</v>
      </c>
      <c r="R132" s="2">
        <f>IF(OR('Ground-Truth'!$C$4&lt;&gt;"Ja",'Ground-Truth'!$D$4=""),"",IF(TEXT(M132,"0")=TEXT('Ground-Truth'!$D$4,"0"),1,0))</f>
        <v>1</v>
      </c>
      <c r="S132" s="2" t="str">
        <f>IF(OR('Ground-Truth'!$C$5&lt;&gt;"Ja",'Ground-Truth'!$D$5=""),"",IF(TEXT(N132,"0")=TEXT('Ground-Truth'!$D$5,"0"),1,0))</f>
        <v/>
      </c>
      <c r="T132" s="2" t="str">
        <f>IF(OR('Ground-Truth'!$C$6&lt;&gt;"Ja",'Ground-Truth'!$D$6=""),"",IF(TEXT(O132,"0")=TEXT('Ground-Truth'!$D$6,"0"),1,0))</f>
        <v/>
      </c>
      <c r="U132" s="2">
        <f t="shared" si="21"/>
        <v>3</v>
      </c>
      <c r="V132" s="2">
        <f t="shared" si="22"/>
        <v>3</v>
      </c>
      <c r="W132" s="2">
        <f t="shared" si="23"/>
        <v>100</v>
      </c>
      <c r="X132" s="4" t="str">
        <f t="shared" si="24"/>
        <v>gpt-5-chat_C6_BatchOnly</v>
      </c>
    </row>
    <row r="133" spans="1:24" ht="15" customHeight="1" x14ac:dyDescent="0.25">
      <c r="A133" s="3" t="s">
        <v>55</v>
      </c>
      <c r="B133" s="2" t="s">
        <v>56</v>
      </c>
      <c r="C133" s="2" t="s">
        <v>52</v>
      </c>
      <c r="D133" s="2">
        <v>2</v>
      </c>
      <c r="E133" s="2">
        <v>13.25</v>
      </c>
      <c r="F133" s="2">
        <v>4.5187999999999999E-2</v>
      </c>
      <c r="G133" s="2">
        <v>23014</v>
      </c>
      <c r="H133" s="2">
        <v>1642</v>
      </c>
      <c r="I133" s="2">
        <f t="shared" si="20"/>
        <v>24656</v>
      </c>
      <c r="J133" s="2">
        <v>1</v>
      </c>
      <c r="K133" s="2" t="s">
        <v>8</v>
      </c>
      <c r="L133" s="2" t="s">
        <v>10</v>
      </c>
      <c r="M133" s="2" t="s">
        <v>12</v>
      </c>
      <c r="N133" s="2" t="s">
        <v>12</v>
      </c>
      <c r="O133" s="2" t="s">
        <v>15</v>
      </c>
      <c r="P133" s="2">
        <f>IF(OR('Ground-Truth'!$C$2&lt;&gt;"Ja",'Ground-Truth'!$D$2=""),"",IF(TEXT(K133,"0")=TEXT('Ground-Truth'!$D$2,"0"),1,0))</f>
        <v>1</v>
      </c>
      <c r="Q133" s="2">
        <f>IF(OR('Ground-Truth'!$C$3&lt;&gt;"Ja",'Ground-Truth'!$D$3=""),"",IF(TEXT(L133,"0")=TEXT('Ground-Truth'!$D$3,"0"),1,0))</f>
        <v>1</v>
      </c>
      <c r="R133" s="2">
        <f>IF(OR('Ground-Truth'!$C$4&lt;&gt;"Ja",'Ground-Truth'!$D$4=""),"",IF(TEXT(M133,"0")=TEXT('Ground-Truth'!$D$4,"0"),1,0))</f>
        <v>1</v>
      </c>
      <c r="S133" s="2" t="str">
        <f>IF(OR('Ground-Truth'!$C$5&lt;&gt;"Ja",'Ground-Truth'!$D$5=""),"",IF(TEXT(N133,"0")=TEXT('Ground-Truth'!$D$5,"0"),1,0))</f>
        <v/>
      </c>
      <c r="T133" s="2" t="str">
        <f>IF(OR('Ground-Truth'!$C$6&lt;&gt;"Ja",'Ground-Truth'!$D$6=""),"",IF(TEXT(O133,"0")=TEXT('Ground-Truth'!$D$6,"0"),1,0))</f>
        <v/>
      </c>
      <c r="U133" s="2">
        <f t="shared" si="21"/>
        <v>3</v>
      </c>
      <c r="V133" s="2">
        <f t="shared" si="22"/>
        <v>3</v>
      </c>
      <c r="W133" s="2">
        <f t="shared" si="23"/>
        <v>100</v>
      </c>
      <c r="X133" s="4" t="str">
        <f t="shared" si="24"/>
        <v>gpt-5-chat_C6_BatchOnly</v>
      </c>
    </row>
    <row r="134" spans="1:24" ht="15" customHeight="1" x14ac:dyDescent="0.25">
      <c r="A134" s="3" t="s">
        <v>55</v>
      </c>
      <c r="B134" s="2" t="s">
        <v>56</v>
      </c>
      <c r="C134" s="2" t="s">
        <v>52</v>
      </c>
      <c r="D134" s="2">
        <v>3</v>
      </c>
      <c r="E134" s="2">
        <v>13.41</v>
      </c>
      <c r="F134" s="2">
        <v>4.5488000000000001E-2</v>
      </c>
      <c r="G134" s="2">
        <v>23014</v>
      </c>
      <c r="H134" s="2">
        <v>1672</v>
      </c>
      <c r="I134" s="2">
        <f t="shared" si="20"/>
        <v>24686</v>
      </c>
      <c r="J134" s="2">
        <v>1</v>
      </c>
      <c r="K134" s="2" t="s">
        <v>8</v>
      </c>
      <c r="L134" s="2" t="s">
        <v>10</v>
      </c>
      <c r="M134" s="2" t="s">
        <v>12</v>
      </c>
      <c r="N134" s="2" t="s">
        <v>12</v>
      </c>
      <c r="O134" s="2" t="s">
        <v>15</v>
      </c>
      <c r="P134" s="2">
        <f>IF(OR('Ground-Truth'!$C$2&lt;&gt;"Ja",'Ground-Truth'!$D$2=""),"",IF(TEXT(K134,"0")=TEXT('Ground-Truth'!$D$2,"0"),1,0))</f>
        <v>1</v>
      </c>
      <c r="Q134" s="2">
        <f>IF(OR('Ground-Truth'!$C$3&lt;&gt;"Ja",'Ground-Truth'!$D$3=""),"",IF(TEXT(L134,"0")=TEXT('Ground-Truth'!$D$3,"0"),1,0))</f>
        <v>1</v>
      </c>
      <c r="R134" s="2">
        <f>IF(OR('Ground-Truth'!$C$4&lt;&gt;"Ja",'Ground-Truth'!$D$4=""),"",IF(TEXT(M134,"0")=TEXT('Ground-Truth'!$D$4,"0"),1,0))</f>
        <v>1</v>
      </c>
      <c r="S134" s="2" t="str">
        <f>IF(OR('Ground-Truth'!$C$5&lt;&gt;"Ja",'Ground-Truth'!$D$5=""),"",IF(TEXT(N134,"0")=TEXT('Ground-Truth'!$D$5,"0"),1,0))</f>
        <v/>
      </c>
      <c r="T134" s="2" t="str">
        <f>IF(OR('Ground-Truth'!$C$6&lt;&gt;"Ja",'Ground-Truth'!$D$6=""),"",IF(TEXT(O134,"0")=TEXT('Ground-Truth'!$D$6,"0"),1,0))</f>
        <v/>
      </c>
      <c r="U134" s="2">
        <f t="shared" si="21"/>
        <v>3</v>
      </c>
      <c r="V134" s="2">
        <f t="shared" si="22"/>
        <v>3</v>
      </c>
      <c r="W134" s="2">
        <f t="shared" si="23"/>
        <v>100</v>
      </c>
      <c r="X134" s="4" t="str">
        <f t="shared" si="24"/>
        <v>gpt-5-chat_C6_BatchOnly</v>
      </c>
    </row>
    <row r="135" spans="1:24" ht="15" customHeight="1" x14ac:dyDescent="0.25">
      <c r="A135" s="3" t="s">
        <v>55</v>
      </c>
      <c r="B135" s="2" t="s">
        <v>56</v>
      </c>
      <c r="C135" s="2" t="s">
        <v>52</v>
      </c>
      <c r="D135" s="2">
        <v>4</v>
      </c>
      <c r="E135" s="2">
        <v>13.16</v>
      </c>
      <c r="F135" s="2">
        <v>4.2798000000000003E-2</v>
      </c>
      <c r="G135" s="2">
        <v>23014</v>
      </c>
      <c r="H135" s="2">
        <v>1403</v>
      </c>
      <c r="I135" s="2">
        <f t="shared" si="20"/>
        <v>24417</v>
      </c>
      <c r="J135" s="2">
        <v>1</v>
      </c>
      <c r="K135" s="2" t="s">
        <v>8</v>
      </c>
      <c r="L135" s="2" t="s">
        <v>10</v>
      </c>
      <c r="M135" s="2" t="s">
        <v>12</v>
      </c>
      <c r="N135" s="2" t="s">
        <v>12</v>
      </c>
      <c r="O135" s="2" t="s">
        <v>15</v>
      </c>
      <c r="P135" s="2">
        <f>IF(OR('Ground-Truth'!$C$2&lt;&gt;"Ja",'Ground-Truth'!$D$2=""),"",IF(TEXT(K135,"0")=TEXT('Ground-Truth'!$D$2,"0"),1,0))</f>
        <v>1</v>
      </c>
      <c r="Q135" s="2">
        <f>IF(OR('Ground-Truth'!$C$3&lt;&gt;"Ja",'Ground-Truth'!$D$3=""),"",IF(TEXT(L135,"0")=TEXT('Ground-Truth'!$D$3,"0"),1,0))</f>
        <v>1</v>
      </c>
      <c r="R135" s="2">
        <f>IF(OR('Ground-Truth'!$C$4&lt;&gt;"Ja",'Ground-Truth'!$D$4=""),"",IF(TEXT(M135,"0")=TEXT('Ground-Truth'!$D$4,"0"),1,0))</f>
        <v>1</v>
      </c>
      <c r="S135" s="2" t="str">
        <f>IF(OR('Ground-Truth'!$C$5&lt;&gt;"Ja",'Ground-Truth'!$D$5=""),"",IF(TEXT(N135,"0")=TEXT('Ground-Truth'!$D$5,"0"),1,0))</f>
        <v/>
      </c>
      <c r="T135" s="2" t="str">
        <f>IF(OR('Ground-Truth'!$C$6&lt;&gt;"Ja",'Ground-Truth'!$D$6=""),"",IF(TEXT(O135,"0")=TEXT('Ground-Truth'!$D$6,"0"),1,0))</f>
        <v/>
      </c>
      <c r="U135" s="2">
        <f t="shared" si="21"/>
        <v>3</v>
      </c>
      <c r="V135" s="2">
        <f t="shared" si="22"/>
        <v>3</v>
      </c>
      <c r="W135" s="2">
        <f t="shared" si="23"/>
        <v>100</v>
      </c>
      <c r="X135" s="4" t="str">
        <f t="shared" si="24"/>
        <v>gpt-5-chat_C6_BatchOnly</v>
      </c>
    </row>
    <row r="136" spans="1:24" ht="15" customHeight="1" x14ac:dyDescent="0.25">
      <c r="A136" s="3" t="s">
        <v>55</v>
      </c>
      <c r="B136" s="2" t="s">
        <v>56</v>
      </c>
      <c r="C136" s="2" t="s">
        <v>52</v>
      </c>
      <c r="D136" s="2">
        <v>5</v>
      </c>
      <c r="E136" s="2">
        <v>15.23</v>
      </c>
      <c r="F136" s="2">
        <v>4.5576999999999999E-2</v>
      </c>
      <c r="G136" s="2">
        <v>23014</v>
      </c>
      <c r="H136" s="2">
        <v>1681</v>
      </c>
      <c r="I136" s="2">
        <f t="shared" si="20"/>
        <v>24695</v>
      </c>
      <c r="J136" s="2">
        <v>1</v>
      </c>
      <c r="K136" s="2" t="s">
        <v>8</v>
      </c>
      <c r="L136" s="2" t="s">
        <v>10</v>
      </c>
      <c r="M136" s="2" t="s">
        <v>12</v>
      </c>
      <c r="N136" s="2" t="s">
        <v>12</v>
      </c>
      <c r="O136" s="2" t="s">
        <v>15</v>
      </c>
      <c r="P136" s="2">
        <f>IF(OR('Ground-Truth'!$C$2&lt;&gt;"Ja",'Ground-Truth'!$D$2=""),"",IF(TEXT(K136,"0")=TEXT('Ground-Truth'!$D$2,"0"),1,0))</f>
        <v>1</v>
      </c>
      <c r="Q136" s="2">
        <f>IF(OR('Ground-Truth'!$C$3&lt;&gt;"Ja",'Ground-Truth'!$D$3=""),"",IF(TEXT(L136,"0")=TEXT('Ground-Truth'!$D$3,"0"),1,0))</f>
        <v>1</v>
      </c>
      <c r="R136" s="2">
        <f>IF(OR('Ground-Truth'!$C$4&lt;&gt;"Ja",'Ground-Truth'!$D$4=""),"",IF(TEXT(M136,"0")=TEXT('Ground-Truth'!$D$4,"0"),1,0))</f>
        <v>1</v>
      </c>
      <c r="S136" s="2" t="str">
        <f>IF(OR('Ground-Truth'!$C$5&lt;&gt;"Ja",'Ground-Truth'!$D$5=""),"",IF(TEXT(N136,"0")=TEXT('Ground-Truth'!$D$5,"0"),1,0))</f>
        <v/>
      </c>
      <c r="T136" s="2" t="str">
        <f>IF(OR('Ground-Truth'!$C$6&lt;&gt;"Ja",'Ground-Truth'!$D$6=""),"",IF(TEXT(O136,"0")=TEXT('Ground-Truth'!$D$6,"0"),1,0))</f>
        <v/>
      </c>
      <c r="U136" s="2">
        <f t="shared" si="21"/>
        <v>3</v>
      </c>
      <c r="V136" s="2">
        <f t="shared" si="22"/>
        <v>3</v>
      </c>
      <c r="W136" s="2">
        <f t="shared" si="23"/>
        <v>100</v>
      </c>
      <c r="X136" s="4" t="str">
        <f t="shared" si="24"/>
        <v>gpt-5-chat_C6_BatchOnly</v>
      </c>
    </row>
    <row r="137" spans="1:24" ht="15" customHeight="1" x14ac:dyDescent="0.25">
      <c r="A137" s="3" t="s">
        <v>55</v>
      </c>
      <c r="B137" s="2" t="s">
        <v>57</v>
      </c>
      <c r="C137" s="2" t="s">
        <v>52</v>
      </c>
      <c r="D137" s="2">
        <v>1</v>
      </c>
      <c r="E137" s="2">
        <v>18.66</v>
      </c>
      <c r="F137" s="2">
        <v>2.5190000000000001E-2</v>
      </c>
      <c r="G137" s="2">
        <v>6576</v>
      </c>
      <c r="H137" s="2">
        <v>1697</v>
      </c>
      <c r="I137" s="2">
        <f t="shared" si="20"/>
        <v>8273</v>
      </c>
      <c r="J137" s="2">
        <v>5</v>
      </c>
      <c r="K137" s="2" t="s">
        <v>8</v>
      </c>
      <c r="L137" s="2" t="s">
        <v>10</v>
      </c>
      <c r="M137" s="2" t="s">
        <v>12</v>
      </c>
      <c r="N137" s="2" t="s">
        <v>12</v>
      </c>
      <c r="O137" s="2" t="s">
        <v>15</v>
      </c>
      <c r="P137" s="2">
        <f>IF(OR('Ground-Truth'!$C$2&lt;&gt;"Ja",'Ground-Truth'!$D$2=""),"",IF(TEXT(K137,"0")=TEXT('Ground-Truth'!$D$2,"0"),1,0))</f>
        <v>1</v>
      </c>
      <c r="Q137" s="2">
        <f>IF(OR('Ground-Truth'!$C$3&lt;&gt;"Ja",'Ground-Truth'!$D$3=""),"",IF(TEXT(L137,"0")=TEXT('Ground-Truth'!$D$3,"0"),1,0))</f>
        <v>1</v>
      </c>
      <c r="R137" s="2">
        <f>IF(OR('Ground-Truth'!$C$4&lt;&gt;"Ja",'Ground-Truth'!$D$4=""),"",IF(TEXT(M137,"0")=TEXT('Ground-Truth'!$D$4,"0"),1,0))</f>
        <v>1</v>
      </c>
      <c r="S137" s="2" t="str">
        <f>IF(OR('Ground-Truth'!$C$5&lt;&gt;"Ja",'Ground-Truth'!$D$5=""),"",IF(TEXT(N137,"0")=TEXT('Ground-Truth'!$D$5,"0"),1,0))</f>
        <v/>
      </c>
      <c r="T137" s="2" t="str">
        <f>IF(OR('Ground-Truth'!$C$6&lt;&gt;"Ja",'Ground-Truth'!$D$6=""),"",IF(TEXT(O137,"0")=TEXT('Ground-Truth'!$D$6,"0"),1,0))</f>
        <v/>
      </c>
      <c r="U137" s="2">
        <f t="shared" si="21"/>
        <v>3</v>
      </c>
      <c r="V137" s="2">
        <f t="shared" si="22"/>
        <v>3</v>
      </c>
      <c r="W137" s="2">
        <f t="shared" si="23"/>
        <v>100</v>
      </c>
      <c r="X137" s="4" t="str">
        <f t="shared" si="24"/>
        <v>gpt-5-chat_C7_FilterOnly</v>
      </c>
    </row>
    <row r="138" spans="1:24" ht="15" customHeight="1" x14ac:dyDescent="0.25">
      <c r="A138" s="3" t="s">
        <v>55</v>
      </c>
      <c r="B138" s="2" t="s">
        <v>57</v>
      </c>
      <c r="C138" s="2" t="s">
        <v>52</v>
      </c>
      <c r="D138" s="2">
        <v>2</v>
      </c>
      <c r="E138" s="2">
        <v>18.670000000000002</v>
      </c>
      <c r="F138" s="2">
        <v>2.5610000000000001E-2</v>
      </c>
      <c r="G138" s="2">
        <v>6576</v>
      </c>
      <c r="H138" s="2">
        <v>1739</v>
      </c>
      <c r="I138" s="2">
        <f t="shared" si="20"/>
        <v>8315</v>
      </c>
      <c r="J138" s="2">
        <v>5</v>
      </c>
      <c r="K138" s="2" t="s">
        <v>8</v>
      </c>
      <c r="L138" s="2" t="s">
        <v>10</v>
      </c>
      <c r="M138" s="2" t="s">
        <v>12</v>
      </c>
      <c r="N138" s="2" t="s">
        <v>12</v>
      </c>
      <c r="O138" s="2" t="s">
        <v>15</v>
      </c>
      <c r="P138" s="2">
        <f>IF(OR('Ground-Truth'!$C$2&lt;&gt;"Ja",'Ground-Truth'!$D$2=""),"",IF(TEXT(K138,"0")=TEXT('Ground-Truth'!$D$2,"0"),1,0))</f>
        <v>1</v>
      </c>
      <c r="Q138" s="2">
        <f>IF(OR('Ground-Truth'!$C$3&lt;&gt;"Ja",'Ground-Truth'!$D$3=""),"",IF(TEXT(L138,"0")=TEXT('Ground-Truth'!$D$3,"0"),1,0))</f>
        <v>1</v>
      </c>
      <c r="R138" s="2">
        <f>IF(OR('Ground-Truth'!$C$4&lt;&gt;"Ja",'Ground-Truth'!$D$4=""),"",IF(TEXT(M138,"0")=TEXT('Ground-Truth'!$D$4,"0"),1,0))</f>
        <v>1</v>
      </c>
      <c r="S138" s="2" t="str">
        <f>IF(OR('Ground-Truth'!$C$5&lt;&gt;"Ja",'Ground-Truth'!$D$5=""),"",IF(TEXT(N138,"0")=TEXT('Ground-Truth'!$D$5,"0"),1,0))</f>
        <v/>
      </c>
      <c r="T138" s="2" t="str">
        <f>IF(OR('Ground-Truth'!$C$6&lt;&gt;"Ja",'Ground-Truth'!$D$6=""),"",IF(TEXT(O138,"0")=TEXT('Ground-Truth'!$D$6,"0"),1,0))</f>
        <v/>
      </c>
      <c r="U138" s="2">
        <f t="shared" si="21"/>
        <v>3</v>
      </c>
      <c r="V138" s="2">
        <f t="shared" si="22"/>
        <v>3</v>
      </c>
      <c r="W138" s="2">
        <f t="shared" si="23"/>
        <v>100</v>
      </c>
      <c r="X138" s="4" t="str">
        <f t="shared" si="24"/>
        <v>gpt-5-chat_C7_FilterOnly</v>
      </c>
    </row>
    <row r="139" spans="1:24" ht="15" customHeight="1" x14ac:dyDescent="0.25">
      <c r="A139" s="3" t="s">
        <v>55</v>
      </c>
      <c r="B139" s="2" t="s">
        <v>57</v>
      </c>
      <c r="C139" s="2" t="s">
        <v>52</v>
      </c>
      <c r="D139" s="2">
        <v>3</v>
      </c>
      <c r="E139" s="2">
        <v>20.85</v>
      </c>
      <c r="F139" s="2">
        <v>2.6200000000000001E-2</v>
      </c>
      <c r="G139" s="2">
        <v>6576</v>
      </c>
      <c r="H139" s="2">
        <v>1798</v>
      </c>
      <c r="I139" s="2">
        <f t="shared" si="20"/>
        <v>8374</v>
      </c>
      <c r="J139" s="2">
        <v>5</v>
      </c>
      <c r="K139" s="2" t="s">
        <v>8</v>
      </c>
      <c r="L139" s="2" t="s">
        <v>10</v>
      </c>
      <c r="M139" s="2" t="s">
        <v>12</v>
      </c>
      <c r="N139" s="2" t="s">
        <v>12</v>
      </c>
      <c r="O139" s="2" t="s">
        <v>15</v>
      </c>
      <c r="P139" s="2">
        <f>IF(OR('Ground-Truth'!$C$2&lt;&gt;"Ja",'Ground-Truth'!$D$2=""),"",IF(TEXT(K139,"0")=TEXT('Ground-Truth'!$D$2,"0"),1,0))</f>
        <v>1</v>
      </c>
      <c r="Q139" s="2">
        <f>IF(OR('Ground-Truth'!$C$3&lt;&gt;"Ja",'Ground-Truth'!$D$3=""),"",IF(TEXT(L139,"0")=TEXT('Ground-Truth'!$D$3,"0"),1,0))</f>
        <v>1</v>
      </c>
      <c r="R139" s="2">
        <f>IF(OR('Ground-Truth'!$C$4&lt;&gt;"Ja",'Ground-Truth'!$D$4=""),"",IF(TEXT(M139,"0")=TEXT('Ground-Truth'!$D$4,"0"),1,0))</f>
        <v>1</v>
      </c>
      <c r="S139" s="2" t="str">
        <f>IF(OR('Ground-Truth'!$C$5&lt;&gt;"Ja",'Ground-Truth'!$D$5=""),"",IF(TEXT(N139,"0")=TEXT('Ground-Truth'!$D$5,"0"),1,0))</f>
        <v/>
      </c>
      <c r="T139" s="2" t="str">
        <f>IF(OR('Ground-Truth'!$C$6&lt;&gt;"Ja",'Ground-Truth'!$D$6=""),"",IF(TEXT(O139,"0")=TEXT('Ground-Truth'!$D$6,"0"),1,0))</f>
        <v/>
      </c>
      <c r="U139" s="2">
        <f t="shared" si="21"/>
        <v>3</v>
      </c>
      <c r="V139" s="2">
        <f t="shared" si="22"/>
        <v>3</v>
      </c>
      <c r="W139" s="2">
        <f t="shared" si="23"/>
        <v>100</v>
      </c>
      <c r="X139" s="4" t="str">
        <f t="shared" si="24"/>
        <v>gpt-5-chat_C7_FilterOnly</v>
      </c>
    </row>
    <row r="140" spans="1:24" ht="15" customHeight="1" x14ac:dyDescent="0.25">
      <c r="A140" s="3" t="s">
        <v>55</v>
      </c>
      <c r="B140" s="2" t="s">
        <v>57</v>
      </c>
      <c r="C140" s="2" t="s">
        <v>52</v>
      </c>
      <c r="D140" s="2">
        <v>4</v>
      </c>
      <c r="E140" s="2">
        <v>19.93</v>
      </c>
      <c r="F140" s="2">
        <v>2.699E-2</v>
      </c>
      <c r="G140" s="2">
        <v>6576</v>
      </c>
      <c r="H140" s="2">
        <v>1877</v>
      </c>
      <c r="I140" s="2">
        <f t="shared" si="20"/>
        <v>8453</v>
      </c>
      <c r="J140" s="2">
        <v>5</v>
      </c>
      <c r="K140" s="2" t="s">
        <v>8</v>
      </c>
      <c r="L140" s="2" t="s">
        <v>10</v>
      </c>
      <c r="M140" s="2" t="s">
        <v>12</v>
      </c>
      <c r="N140" s="2" t="s">
        <v>12</v>
      </c>
      <c r="O140" s="2" t="s">
        <v>15</v>
      </c>
      <c r="P140" s="2">
        <f>IF(OR('Ground-Truth'!$C$2&lt;&gt;"Ja",'Ground-Truth'!$D$2=""),"",IF(TEXT(K140,"0")=TEXT('Ground-Truth'!$D$2,"0"),1,0))</f>
        <v>1</v>
      </c>
      <c r="Q140" s="2">
        <f>IF(OR('Ground-Truth'!$C$3&lt;&gt;"Ja",'Ground-Truth'!$D$3=""),"",IF(TEXT(L140,"0")=TEXT('Ground-Truth'!$D$3,"0"),1,0))</f>
        <v>1</v>
      </c>
      <c r="R140" s="2">
        <f>IF(OR('Ground-Truth'!$C$4&lt;&gt;"Ja",'Ground-Truth'!$D$4=""),"",IF(TEXT(M140,"0")=TEXT('Ground-Truth'!$D$4,"0"),1,0))</f>
        <v>1</v>
      </c>
      <c r="S140" s="2" t="str">
        <f>IF(OR('Ground-Truth'!$C$5&lt;&gt;"Ja",'Ground-Truth'!$D$5=""),"",IF(TEXT(N140,"0")=TEXT('Ground-Truth'!$D$5,"0"),1,0))</f>
        <v/>
      </c>
      <c r="T140" s="2" t="str">
        <f>IF(OR('Ground-Truth'!$C$6&lt;&gt;"Ja",'Ground-Truth'!$D$6=""),"",IF(TEXT(O140,"0")=TEXT('Ground-Truth'!$D$6,"0"),1,0))</f>
        <v/>
      </c>
      <c r="U140" s="2">
        <f t="shared" si="21"/>
        <v>3</v>
      </c>
      <c r="V140" s="2">
        <f t="shared" si="22"/>
        <v>3</v>
      </c>
      <c r="W140" s="2">
        <f t="shared" si="23"/>
        <v>100</v>
      </c>
      <c r="X140" s="4" t="str">
        <f t="shared" si="24"/>
        <v>gpt-5-chat_C7_FilterOnly</v>
      </c>
    </row>
    <row r="141" spans="1:24" ht="15" customHeight="1" x14ac:dyDescent="0.25">
      <c r="A141" s="3" t="s">
        <v>55</v>
      </c>
      <c r="B141" s="2" t="s">
        <v>57</v>
      </c>
      <c r="C141" s="2" t="s">
        <v>52</v>
      </c>
      <c r="D141" s="2">
        <v>5</v>
      </c>
      <c r="E141" s="2">
        <v>18.28</v>
      </c>
      <c r="F141" s="2">
        <v>2.5399999999999999E-2</v>
      </c>
      <c r="G141" s="2">
        <v>6576</v>
      </c>
      <c r="H141" s="2">
        <v>1718</v>
      </c>
      <c r="I141" s="2">
        <f t="shared" si="20"/>
        <v>8294</v>
      </c>
      <c r="J141" s="2">
        <v>5</v>
      </c>
      <c r="K141" s="2" t="s">
        <v>8</v>
      </c>
      <c r="L141" s="2" t="s">
        <v>10</v>
      </c>
      <c r="M141" s="2" t="s">
        <v>12</v>
      </c>
      <c r="N141" s="2" t="s">
        <v>12</v>
      </c>
      <c r="O141" s="2" t="s">
        <v>15</v>
      </c>
      <c r="P141" s="2">
        <f>IF(OR('Ground-Truth'!$C$2&lt;&gt;"Ja",'Ground-Truth'!$D$2=""),"",IF(TEXT(K141,"0")=TEXT('Ground-Truth'!$D$2,"0"),1,0))</f>
        <v>1</v>
      </c>
      <c r="Q141" s="2">
        <f>IF(OR('Ground-Truth'!$C$3&lt;&gt;"Ja",'Ground-Truth'!$D$3=""),"",IF(TEXT(L141,"0")=TEXT('Ground-Truth'!$D$3,"0"),1,0))</f>
        <v>1</v>
      </c>
      <c r="R141" s="2">
        <f>IF(OR('Ground-Truth'!$C$4&lt;&gt;"Ja",'Ground-Truth'!$D$4=""),"",IF(TEXT(M141,"0")=TEXT('Ground-Truth'!$D$4,"0"),1,0))</f>
        <v>1</v>
      </c>
      <c r="S141" s="2" t="str">
        <f>IF(OR('Ground-Truth'!$C$5&lt;&gt;"Ja",'Ground-Truth'!$D$5=""),"",IF(TEXT(N141,"0")=TEXT('Ground-Truth'!$D$5,"0"),1,0))</f>
        <v/>
      </c>
      <c r="T141" s="2" t="str">
        <f>IF(OR('Ground-Truth'!$C$6&lt;&gt;"Ja",'Ground-Truth'!$D$6=""),"",IF(TEXT(O141,"0")=TEXT('Ground-Truth'!$D$6,"0"),1,0))</f>
        <v/>
      </c>
      <c r="U141" s="2">
        <f t="shared" si="21"/>
        <v>3</v>
      </c>
      <c r="V141" s="2">
        <f t="shared" si="22"/>
        <v>3</v>
      </c>
      <c r="W141" s="2">
        <f t="shared" si="23"/>
        <v>100</v>
      </c>
      <c r="X141" s="4" t="str">
        <f t="shared" si="24"/>
        <v>gpt-5-chat_C7_FilterOnly</v>
      </c>
    </row>
    <row r="142" spans="1:24" ht="15" customHeight="1" x14ac:dyDescent="0.25">
      <c r="A142" s="3" t="s">
        <v>55</v>
      </c>
      <c r="B142" s="2" t="s">
        <v>58</v>
      </c>
      <c r="C142" s="2" t="s">
        <v>52</v>
      </c>
      <c r="D142" s="2">
        <v>1</v>
      </c>
      <c r="E142" s="2">
        <v>14.06</v>
      </c>
      <c r="F142" s="2">
        <v>2.1964000000000001E-2</v>
      </c>
      <c r="G142" s="2">
        <v>4419</v>
      </c>
      <c r="H142" s="2">
        <v>1644</v>
      </c>
      <c r="I142" s="2">
        <f t="shared" si="20"/>
        <v>6063</v>
      </c>
      <c r="J142" s="2">
        <v>1</v>
      </c>
      <c r="K142" s="2" t="s">
        <v>8</v>
      </c>
      <c r="L142" s="2" t="s">
        <v>10</v>
      </c>
      <c r="M142" s="2" t="s">
        <v>12</v>
      </c>
      <c r="N142" s="2" t="s">
        <v>12</v>
      </c>
      <c r="O142" s="2" t="s">
        <v>15</v>
      </c>
      <c r="P142" s="2">
        <f>IF(OR('Ground-Truth'!$C$2&lt;&gt;"Ja",'Ground-Truth'!$D$2=""),"",IF(TEXT(K142,"0")=TEXT('Ground-Truth'!$D$2,"0"),1,0))</f>
        <v>1</v>
      </c>
      <c r="Q142" s="2">
        <f>IF(OR('Ground-Truth'!$C$3&lt;&gt;"Ja",'Ground-Truth'!$D$3=""),"",IF(TEXT(L142,"0")=TEXT('Ground-Truth'!$D$3,"0"),1,0))</f>
        <v>1</v>
      </c>
      <c r="R142" s="2">
        <f>IF(OR('Ground-Truth'!$C$4&lt;&gt;"Ja",'Ground-Truth'!$D$4=""),"",IF(TEXT(M142,"0")=TEXT('Ground-Truth'!$D$4,"0"),1,0))</f>
        <v>1</v>
      </c>
      <c r="S142" s="2" t="str">
        <f>IF(OR('Ground-Truth'!$C$5&lt;&gt;"Ja",'Ground-Truth'!$D$5=""),"",IF(TEXT(N142,"0")=TEXT('Ground-Truth'!$D$5,"0"),1,0))</f>
        <v/>
      </c>
      <c r="T142" s="2" t="str">
        <f>IF(OR('Ground-Truth'!$C$6&lt;&gt;"Ja",'Ground-Truth'!$D$6=""),"",IF(TEXT(O142,"0")=TEXT('Ground-Truth'!$D$6,"0"),1,0))</f>
        <v/>
      </c>
      <c r="U142" s="2">
        <f t="shared" si="21"/>
        <v>3</v>
      </c>
      <c r="V142" s="2">
        <f t="shared" si="22"/>
        <v>3</v>
      </c>
      <c r="W142" s="2">
        <f t="shared" si="23"/>
        <v>100</v>
      </c>
      <c r="X142" s="4" t="str">
        <f t="shared" si="24"/>
        <v>gpt-5-chat_C8_BatchFiltered_NoName</v>
      </c>
    </row>
    <row r="143" spans="1:24" ht="15" customHeight="1" x14ac:dyDescent="0.25">
      <c r="A143" s="3" t="s">
        <v>55</v>
      </c>
      <c r="B143" s="2" t="s">
        <v>58</v>
      </c>
      <c r="C143" s="2" t="s">
        <v>52</v>
      </c>
      <c r="D143" s="2">
        <v>2</v>
      </c>
      <c r="E143" s="2">
        <v>14.24</v>
      </c>
      <c r="F143" s="2">
        <v>2.2253999999999999E-2</v>
      </c>
      <c r="G143" s="2">
        <v>4419</v>
      </c>
      <c r="H143" s="2">
        <v>1673</v>
      </c>
      <c r="I143" s="2">
        <f t="shared" si="20"/>
        <v>6092</v>
      </c>
      <c r="J143" s="2">
        <v>1</v>
      </c>
      <c r="K143" s="2" t="s">
        <v>8</v>
      </c>
      <c r="L143" s="2" t="s">
        <v>10</v>
      </c>
      <c r="M143" s="2" t="s">
        <v>12</v>
      </c>
      <c r="N143" s="2" t="s">
        <v>12</v>
      </c>
      <c r="O143" s="2" t="s">
        <v>15</v>
      </c>
      <c r="P143" s="2">
        <f>IF(OR('Ground-Truth'!$C$2&lt;&gt;"Ja",'Ground-Truth'!$D$2=""),"",IF(TEXT(K143,"0")=TEXT('Ground-Truth'!$D$2,"0"),1,0))</f>
        <v>1</v>
      </c>
      <c r="Q143" s="2">
        <f>IF(OR('Ground-Truth'!$C$3&lt;&gt;"Ja",'Ground-Truth'!$D$3=""),"",IF(TEXT(L143,"0")=TEXT('Ground-Truth'!$D$3,"0"),1,0))</f>
        <v>1</v>
      </c>
      <c r="R143" s="2">
        <f>IF(OR('Ground-Truth'!$C$4&lt;&gt;"Ja",'Ground-Truth'!$D$4=""),"",IF(TEXT(M143,"0")=TEXT('Ground-Truth'!$D$4,"0"),1,0))</f>
        <v>1</v>
      </c>
      <c r="S143" s="2" t="str">
        <f>IF(OR('Ground-Truth'!$C$5&lt;&gt;"Ja",'Ground-Truth'!$D$5=""),"",IF(TEXT(N143,"0")=TEXT('Ground-Truth'!$D$5,"0"),1,0))</f>
        <v/>
      </c>
      <c r="T143" s="2" t="str">
        <f>IF(OR('Ground-Truth'!$C$6&lt;&gt;"Ja",'Ground-Truth'!$D$6=""),"",IF(TEXT(O143,"0")=TEXT('Ground-Truth'!$D$6,"0"),1,0))</f>
        <v/>
      </c>
      <c r="U143" s="2">
        <f t="shared" si="21"/>
        <v>3</v>
      </c>
      <c r="V143" s="2">
        <f t="shared" si="22"/>
        <v>3</v>
      </c>
      <c r="W143" s="2">
        <f t="shared" si="23"/>
        <v>100</v>
      </c>
      <c r="X143" s="4" t="str">
        <f t="shared" si="24"/>
        <v>gpt-5-chat_C8_BatchFiltered_NoName</v>
      </c>
    </row>
    <row r="144" spans="1:24" ht="15" customHeight="1" x14ac:dyDescent="0.25">
      <c r="A144" s="3" t="s">
        <v>55</v>
      </c>
      <c r="B144" s="2" t="s">
        <v>58</v>
      </c>
      <c r="C144" s="2" t="s">
        <v>52</v>
      </c>
      <c r="D144" s="2">
        <v>3</v>
      </c>
      <c r="E144" s="2">
        <v>14.47</v>
      </c>
      <c r="F144" s="2">
        <v>2.1923999999999999E-2</v>
      </c>
      <c r="G144" s="2">
        <v>4419</v>
      </c>
      <c r="H144" s="2">
        <v>1640</v>
      </c>
      <c r="I144" s="2">
        <f t="shared" si="20"/>
        <v>6059</v>
      </c>
      <c r="J144" s="2">
        <v>1</v>
      </c>
      <c r="K144" s="2" t="s">
        <v>8</v>
      </c>
      <c r="L144" s="2" t="s">
        <v>10</v>
      </c>
      <c r="M144" s="2" t="s">
        <v>12</v>
      </c>
      <c r="N144" s="2" t="s">
        <v>12</v>
      </c>
      <c r="O144" s="2" t="s">
        <v>15</v>
      </c>
      <c r="P144" s="2">
        <f>IF(OR('Ground-Truth'!$C$2&lt;&gt;"Ja",'Ground-Truth'!$D$2=""),"",IF(TEXT(K144,"0")=TEXT('Ground-Truth'!$D$2,"0"),1,0))</f>
        <v>1</v>
      </c>
      <c r="Q144" s="2">
        <f>IF(OR('Ground-Truth'!$C$3&lt;&gt;"Ja",'Ground-Truth'!$D$3=""),"",IF(TEXT(L144,"0")=TEXT('Ground-Truth'!$D$3,"0"),1,0))</f>
        <v>1</v>
      </c>
      <c r="R144" s="2">
        <f>IF(OR('Ground-Truth'!$C$4&lt;&gt;"Ja",'Ground-Truth'!$D$4=""),"",IF(TEXT(M144,"0")=TEXT('Ground-Truth'!$D$4,"0"),1,0))</f>
        <v>1</v>
      </c>
      <c r="S144" s="2" t="str">
        <f>IF(OR('Ground-Truth'!$C$5&lt;&gt;"Ja",'Ground-Truth'!$D$5=""),"",IF(TEXT(N144,"0")=TEXT('Ground-Truth'!$D$5,"0"),1,0))</f>
        <v/>
      </c>
      <c r="T144" s="2" t="str">
        <f>IF(OR('Ground-Truth'!$C$6&lt;&gt;"Ja",'Ground-Truth'!$D$6=""),"",IF(TEXT(O144,"0")=TEXT('Ground-Truth'!$D$6,"0"),1,0))</f>
        <v/>
      </c>
      <c r="U144" s="2">
        <f t="shared" si="21"/>
        <v>3</v>
      </c>
      <c r="V144" s="2">
        <f t="shared" si="22"/>
        <v>3</v>
      </c>
      <c r="W144" s="2">
        <f t="shared" si="23"/>
        <v>100</v>
      </c>
      <c r="X144" s="4" t="str">
        <f t="shared" si="24"/>
        <v>gpt-5-chat_C8_BatchFiltered_NoName</v>
      </c>
    </row>
    <row r="145" spans="1:24" ht="15" customHeight="1" x14ac:dyDescent="0.25">
      <c r="A145" s="3" t="s">
        <v>55</v>
      </c>
      <c r="B145" s="2" t="s">
        <v>58</v>
      </c>
      <c r="C145" s="2" t="s">
        <v>52</v>
      </c>
      <c r="D145" s="2">
        <v>4</v>
      </c>
      <c r="E145" s="2">
        <v>10.75</v>
      </c>
      <c r="F145" s="2">
        <v>1.6434000000000001E-2</v>
      </c>
      <c r="G145" s="2">
        <v>4419</v>
      </c>
      <c r="H145" s="2">
        <v>1091</v>
      </c>
      <c r="I145" s="2">
        <f t="shared" si="20"/>
        <v>5510</v>
      </c>
      <c r="J145" s="2">
        <v>1</v>
      </c>
      <c r="K145" s="2" t="s">
        <v>8</v>
      </c>
      <c r="L145" s="2" t="s">
        <v>10</v>
      </c>
      <c r="M145" s="2" t="s">
        <v>12</v>
      </c>
      <c r="N145" s="2" t="s">
        <v>12</v>
      </c>
      <c r="O145" s="2" t="s">
        <v>15</v>
      </c>
      <c r="P145" s="2">
        <f>IF(OR('Ground-Truth'!$C$2&lt;&gt;"Ja",'Ground-Truth'!$D$2=""),"",IF(TEXT(K145,"0")=TEXT('Ground-Truth'!$D$2,"0"),1,0))</f>
        <v>1</v>
      </c>
      <c r="Q145" s="2">
        <f>IF(OR('Ground-Truth'!$C$3&lt;&gt;"Ja",'Ground-Truth'!$D$3=""),"",IF(TEXT(L145,"0")=TEXT('Ground-Truth'!$D$3,"0"),1,0))</f>
        <v>1</v>
      </c>
      <c r="R145" s="2">
        <f>IF(OR('Ground-Truth'!$C$4&lt;&gt;"Ja",'Ground-Truth'!$D$4=""),"",IF(TEXT(M145,"0")=TEXT('Ground-Truth'!$D$4,"0"),1,0))</f>
        <v>1</v>
      </c>
      <c r="S145" s="2" t="str">
        <f>IF(OR('Ground-Truth'!$C$5&lt;&gt;"Ja",'Ground-Truth'!$D$5=""),"",IF(TEXT(N145,"0")=TEXT('Ground-Truth'!$D$5,"0"),1,0))</f>
        <v/>
      </c>
      <c r="T145" s="2" t="str">
        <f>IF(OR('Ground-Truth'!$C$6&lt;&gt;"Ja",'Ground-Truth'!$D$6=""),"",IF(TEXT(O145,"0")=TEXT('Ground-Truth'!$D$6,"0"),1,0))</f>
        <v/>
      </c>
      <c r="U145" s="2">
        <f t="shared" si="21"/>
        <v>3</v>
      </c>
      <c r="V145" s="2">
        <f t="shared" si="22"/>
        <v>3</v>
      </c>
      <c r="W145" s="2">
        <f t="shared" si="23"/>
        <v>100</v>
      </c>
      <c r="X145" s="4" t="str">
        <f t="shared" si="24"/>
        <v>gpt-5-chat_C8_BatchFiltered_NoName</v>
      </c>
    </row>
    <row r="146" spans="1:24" ht="15" customHeight="1" x14ac:dyDescent="0.25">
      <c r="A146" s="3" t="s">
        <v>55</v>
      </c>
      <c r="B146" s="2" t="s">
        <v>58</v>
      </c>
      <c r="C146" s="2" t="s">
        <v>52</v>
      </c>
      <c r="D146" s="2">
        <v>5</v>
      </c>
      <c r="E146" s="2">
        <v>10.130000000000001</v>
      </c>
      <c r="F146" s="2">
        <v>1.5684E-2</v>
      </c>
      <c r="G146" s="2">
        <v>4419</v>
      </c>
      <c r="H146" s="2">
        <v>1016</v>
      </c>
      <c r="I146" s="2">
        <f t="shared" si="20"/>
        <v>5435</v>
      </c>
      <c r="J146" s="2">
        <v>1</v>
      </c>
      <c r="K146" s="2" t="s">
        <v>8</v>
      </c>
      <c r="L146" s="2" t="s">
        <v>10</v>
      </c>
      <c r="M146" s="2" t="s">
        <v>12</v>
      </c>
      <c r="N146" s="2" t="s">
        <v>12</v>
      </c>
      <c r="O146" s="2" t="s">
        <v>15</v>
      </c>
      <c r="P146" s="2">
        <f>IF(OR('Ground-Truth'!$C$2&lt;&gt;"Ja",'Ground-Truth'!$D$2=""),"",IF(TEXT(K146,"0")=TEXT('Ground-Truth'!$D$2,"0"),1,0))</f>
        <v>1</v>
      </c>
      <c r="Q146" s="2">
        <f>IF(OR('Ground-Truth'!$C$3&lt;&gt;"Ja",'Ground-Truth'!$D$3=""),"",IF(TEXT(L146,"0")=TEXT('Ground-Truth'!$D$3,"0"),1,0))</f>
        <v>1</v>
      </c>
      <c r="R146" s="2">
        <f>IF(OR('Ground-Truth'!$C$4&lt;&gt;"Ja",'Ground-Truth'!$D$4=""),"",IF(TEXT(M146,"0")=TEXT('Ground-Truth'!$D$4,"0"),1,0))</f>
        <v>1</v>
      </c>
      <c r="S146" s="2" t="str">
        <f>IF(OR('Ground-Truth'!$C$5&lt;&gt;"Ja",'Ground-Truth'!$D$5=""),"",IF(TEXT(N146,"0")=TEXT('Ground-Truth'!$D$5,"0"),1,0))</f>
        <v/>
      </c>
      <c r="T146" s="2" t="str">
        <f>IF(OR('Ground-Truth'!$C$6&lt;&gt;"Ja",'Ground-Truth'!$D$6=""),"",IF(TEXT(O146,"0")=TEXT('Ground-Truth'!$D$6,"0"),1,0))</f>
        <v/>
      </c>
      <c r="U146" s="2">
        <f t="shared" si="21"/>
        <v>3</v>
      </c>
      <c r="V146" s="2">
        <f t="shared" si="22"/>
        <v>3</v>
      </c>
      <c r="W146" s="2">
        <f t="shared" si="23"/>
        <v>100</v>
      </c>
      <c r="X146" s="4" t="str">
        <f t="shared" si="24"/>
        <v>gpt-5-chat_C8_BatchFiltered_NoName</v>
      </c>
    </row>
    <row r="147" spans="1:24" ht="15" customHeight="1" x14ac:dyDescent="0.25">
      <c r="A147" s="3" t="s">
        <v>55</v>
      </c>
      <c r="B147" s="2" t="s">
        <v>56</v>
      </c>
      <c r="C147" s="2" t="s">
        <v>53</v>
      </c>
      <c r="D147" s="2">
        <v>1</v>
      </c>
      <c r="E147" s="2">
        <v>20.59</v>
      </c>
      <c r="F147" s="2">
        <v>5.6611000000000002E-2</v>
      </c>
      <c r="G147" s="2">
        <v>23013</v>
      </c>
      <c r="H147" s="2">
        <v>1167</v>
      </c>
      <c r="I147" s="2">
        <f t="shared" si="20"/>
        <v>24180</v>
      </c>
      <c r="J147" s="2">
        <v>1</v>
      </c>
      <c r="K147" s="2" t="s">
        <v>8</v>
      </c>
      <c r="L147" s="2" t="s">
        <v>10</v>
      </c>
      <c r="M147" s="2" t="s">
        <v>12</v>
      </c>
      <c r="N147" s="2" t="s">
        <v>12</v>
      </c>
      <c r="O147" s="2" t="s">
        <v>51</v>
      </c>
      <c r="P147" s="2">
        <f>IF(OR('Ground-Truth'!$C$2&lt;&gt;"Ja",'Ground-Truth'!$D$2=""),"",IF(TEXT(K147,"0")=TEXT('Ground-Truth'!$D$2,"0"),1,0))</f>
        <v>1</v>
      </c>
      <c r="Q147" s="2">
        <f>IF(OR('Ground-Truth'!$C$3&lt;&gt;"Ja",'Ground-Truth'!$D$3=""),"",IF(TEXT(L147,"0")=TEXT('Ground-Truth'!$D$3,"0"),1,0))</f>
        <v>1</v>
      </c>
      <c r="R147" s="2">
        <f>IF(OR('Ground-Truth'!$C$4&lt;&gt;"Ja",'Ground-Truth'!$D$4=""),"",IF(TEXT(M147,"0")=TEXT('Ground-Truth'!$D$4,"0"),1,0))</f>
        <v>1</v>
      </c>
      <c r="S147" s="2" t="str">
        <f>IF(OR('Ground-Truth'!$C$5&lt;&gt;"Ja",'Ground-Truth'!$D$5=""),"",IF(TEXT(N147,"0")=TEXT('Ground-Truth'!$D$5,"0"),1,0))</f>
        <v/>
      </c>
      <c r="T147" s="2" t="str">
        <f>IF(OR('Ground-Truth'!$C$6&lt;&gt;"Ja",'Ground-Truth'!$D$6=""),"",IF(TEXT(O147,"0")=TEXT('Ground-Truth'!$D$6,"0"),1,0))</f>
        <v/>
      </c>
      <c r="U147" s="2">
        <f t="shared" si="21"/>
        <v>3</v>
      </c>
      <c r="V147" s="2">
        <f t="shared" si="22"/>
        <v>3</v>
      </c>
      <c r="W147" s="2">
        <f t="shared" si="23"/>
        <v>100</v>
      </c>
      <c r="X147" s="4" t="str">
        <f t="shared" si="24"/>
        <v>gpt-5.2-chat_C6_BatchOnly</v>
      </c>
    </row>
    <row r="148" spans="1:24" ht="15" customHeight="1" x14ac:dyDescent="0.25">
      <c r="A148" s="3" t="s">
        <v>55</v>
      </c>
      <c r="B148" s="2" t="s">
        <v>56</v>
      </c>
      <c r="C148" s="2" t="s">
        <v>53</v>
      </c>
      <c r="D148" s="2">
        <v>2</v>
      </c>
      <c r="E148" s="2">
        <v>17.09</v>
      </c>
      <c r="F148" s="2">
        <v>5.3587000000000003E-2</v>
      </c>
      <c r="G148" s="2">
        <v>23013</v>
      </c>
      <c r="H148" s="2">
        <v>951</v>
      </c>
      <c r="I148" s="2">
        <f t="shared" si="20"/>
        <v>23964</v>
      </c>
      <c r="J148" s="2">
        <v>1</v>
      </c>
      <c r="K148" s="2" t="s">
        <v>8</v>
      </c>
      <c r="L148" s="2" t="s">
        <v>10</v>
      </c>
      <c r="M148" s="2" t="s">
        <v>12</v>
      </c>
      <c r="N148" s="2" t="s">
        <v>12</v>
      </c>
      <c r="O148" s="2" t="s">
        <v>51</v>
      </c>
      <c r="P148" s="2">
        <f>IF(OR('Ground-Truth'!$C$2&lt;&gt;"Ja",'Ground-Truth'!$D$2=""),"",IF(TEXT(K148,"0")=TEXT('Ground-Truth'!$D$2,"0"),1,0))</f>
        <v>1</v>
      </c>
      <c r="Q148" s="2">
        <f>IF(OR('Ground-Truth'!$C$3&lt;&gt;"Ja",'Ground-Truth'!$D$3=""),"",IF(TEXT(L148,"0")=TEXT('Ground-Truth'!$D$3,"0"),1,0))</f>
        <v>1</v>
      </c>
      <c r="R148" s="2">
        <f>IF(OR('Ground-Truth'!$C$4&lt;&gt;"Ja",'Ground-Truth'!$D$4=""),"",IF(TEXT(M148,"0")=TEXT('Ground-Truth'!$D$4,"0"),1,0))</f>
        <v>1</v>
      </c>
      <c r="S148" s="2" t="str">
        <f>IF(OR('Ground-Truth'!$C$5&lt;&gt;"Ja",'Ground-Truth'!$D$5=""),"",IF(TEXT(N148,"0")=TEXT('Ground-Truth'!$D$5,"0"),1,0))</f>
        <v/>
      </c>
      <c r="T148" s="2" t="str">
        <f>IF(OR('Ground-Truth'!$C$6&lt;&gt;"Ja",'Ground-Truth'!$D$6=""),"",IF(TEXT(O148,"0")=TEXT('Ground-Truth'!$D$6,"0"),1,0))</f>
        <v/>
      </c>
      <c r="U148" s="2">
        <f t="shared" si="21"/>
        <v>3</v>
      </c>
      <c r="V148" s="2">
        <f t="shared" si="22"/>
        <v>3</v>
      </c>
      <c r="W148" s="2">
        <f t="shared" si="23"/>
        <v>100</v>
      </c>
      <c r="X148" s="4" t="str">
        <f t="shared" si="24"/>
        <v>gpt-5.2-chat_C6_BatchOnly</v>
      </c>
    </row>
    <row r="149" spans="1:24" ht="15" customHeight="1" x14ac:dyDescent="0.25">
      <c r="A149" s="3" t="s">
        <v>55</v>
      </c>
      <c r="B149" s="2" t="s">
        <v>56</v>
      </c>
      <c r="C149" s="2" t="s">
        <v>53</v>
      </c>
      <c r="D149" s="2">
        <v>3</v>
      </c>
      <c r="E149" s="2">
        <v>21.16</v>
      </c>
      <c r="F149" s="2">
        <v>5.7367000000000001E-2</v>
      </c>
      <c r="G149" s="2">
        <v>23013</v>
      </c>
      <c r="H149" s="2">
        <v>1221</v>
      </c>
      <c r="I149" s="2">
        <f t="shared" si="20"/>
        <v>24234</v>
      </c>
      <c r="J149" s="2">
        <v>1</v>
      </c>
      <c r="K149" s="2" t="s">
        <v>8</v>
      </c>
      <c r="L149" s="2" t="s">
        <v>10</v>
      </c>
      <c r="M149" s="2" t="s">
        <v>12</v>
      </c>
      <c r="N149" s="2" t="s">
        <v>12</v>
      </c>
      <c r="O149" s="2" t="s">
        <v>51</v>
      </c>
      <c r="P149" s="2">
        <f>IF(OR('Ground-Truth'!$C$2&lt;&gt;"Ja",'Ground-Truth'!$D$2=""),"",IF(TEXT(K149,"0")=TEXT('Ground-Truth'!$D$2,"0"),1,0))</f>
        <v>1</v>
      </c>
      <c r="Q149" s="2">
        <f>IF(OR('Ground-Truth'!$C$3&lt;&gt;"Ja",'Ground-Truth'!$D$3=""),"",IF(TEXT(L149,"0")=TEXT('Ground-Truth'!$D$3,"0"),1,0))</f>
        <v>1</v>
      </c>
      <c r="R149" s="2">
        <f>IF(OR('Ground-Truth'!$C$4&lt;&gt;"Ja",'Ground-Truth'!$D$4=""),"",IF(TEXT(M149,"0")=TEXT('Ground-Truth'!$D$4,"0"),1,0))</f>
        <v>1</v>
      </c>
      <c r="S149" s="2" t="str">
        <f>IF(OR('Ground-Truth'!$C$5&lt;&gt;"Ja",'Ground-Truth'!$D$5=""),"",IF(TEXT(N149,"0")=TEXT('Ground-Truth'!$D$5,"0"),1,0))</f>
        <v/>
      </c>
      <c r="T149" s="2" t="str">
        <f>IF(OR('Ground-Truth'!$C$6&lt;&gt;"Ja",'Ground-Truth'!$D$6=""),"",IF(TEXT(O149,"0")=TEXT('Ground-Truth'!$D$6,"0"),1,0))</f>
        <v/>
      </c>
      <c r="U149" s="2">
        <f t="shared" si="21"/>
        <v>3</v>
      </c>
      <c r="V149" s="2">
        <f t="shared" si="22"/>
        <v>3</v>
      </c>
      <c r="W149" s="2">
        <f t="shared" si="23"/>
        <v>100</v>
      </c>
      <c r="X149" s="4" t="str">
        <f t="shared" si="24"/>
        <v>gpt-5.2-chat_C6_BatchOnly</v>
      </c>
    </row>
    <row r="150" spans="1:24" ht="15" customHeight="1" x14ac:dyDescent="0.25">
      <c r="A150" s="3" t="s">
        <v>55</v>
      </c>
      <c r="B150" s="2" t="s">
        <v>56</v>
      </c>
      <c r="C150" s="2" t="s">
        <v>53</v>
      </c>
      <c r="D150" s="2">
        <v>4</v>
      </c>
      <c r="E150" s="2">
        <v>14.96</v>
      </c>
      <c r="F150" s="2">
        <v>5.1402999999999997E-2</v>
      </c>
      <c r="G150" s="2">
        <v>23013</v>
      </c>
      <c r="H150" s="2">
        <v>795</v>
      </c>
      <c r="I150" s="2">
        <f t="shared" si="20"/>
        <v>23808</v>
      </c>
      <c r="J150" s="2">
        <v>1</v>
      </c>
      <c r="K150" s="2" t="s">
        <v>8</v>
      </c>
      <c r="L150" s="2" t="s">
        <v>10</v>
      </c>
      <c r="M150" s="2" t="s">
        <v>12</v>
      </c>
      <c r="N150" s="2" t="s">
        <v>12</v>
      </c>
      <c r="O150" s="2" t="s">
        <v>15</v>
      </c>
      <c r="P150" s="2">
        <f>IF(OR('Ground-Truth'!$C$2&lt;&gt;"Ja",'Ground-Truth'!$D$2=""),"",IF(TEXT(K150,"0")=TEXT('Ground-Truth'!$D$2,"0"),1,0))</f>
        <v>1</v>
      </c>
      <c r="Q150" s="2">
        <f>IF(OR('Ground-Truth'!$C$3&lt;&gt;"Ja",'Ground-Truth'!$D$3=""),"",IF(TEXT(L150,"0")=TEXT('Ground-Truth'!$D$3,"0"),1,0))</f>
        <v>1</v>
      </c>
      <c r="R150" s="2">
        <f>IF(OR('Ground-Truth'!$C$4&lt;&gt;"Ja",'Ground-Truth'!$D$4=""),"",IF(TEXT(M150,"0")=TEXT('Ground-Truth'!$D$4,"0"),1,0))</f>
        <v>1</v>
      </c>
      <c r="S150" s="2" t="str">
        <f>IF(OR('Ground-Truth'!$C$5&lt;&gt;"Ja",'Ground-Truth'!$D$5=""),"",IF(TEXT(N150,"0")=TEXT('Ground-Truth'!$D$5,"0"),1,0))</f>
        <v/>
      </c>
      <c r="T150" s="2" t="str">
        <f>IF(OR('Ground-Truth'!$C$6&lt;&gt;"Ja",'Ground-Truth'!$D$6=""),"",IF(TEXT(O150,"0")=TEXT('Ground-Truth'!$D$6,"0"),1,0))</f>
        <v/>
      </c>
      <c r="U150" s="2">
        <f t="shared" si="21"/>
        <v>3</v>
      </c>
      <c r="V150" s="2">
        <f t="shared" si="22"/>
        <v>3</v>
      </c>
      <c r="W150" s="2">
        <f t="shared" si="23"/>
        <v>100</v>
      </c>
      <c r="X150" s="4" t="str">
        <f t="shared" si="24"/>
        <v>gpt-5.2-chat_C6_BatchOnly</v>
      </c>
    </row>
    <row r="151" spans="1:24" ht="15" customHeight="1" x14ac:dyDescent="0.25">
      <c r="A151" s="3" t="s">
        <v>55</v>
      </c>
      <c r="B151" s="2" t="s">
        <v>56</v>
      </c>
      <c r="C151" s="2" t="s">
        <v>53</v>
      </c>
      <c r="D151" s="2">
        <v>5</v>
      </c>
      <c r="E151" s="2">
        <v>15.27</v>
      </c>
      <c r="F151" s="2">
        <v>5.2495E-2</v>
      </c>
      <c r="G151" s="2">
        <v>23013</v>
      </c>
      <c r="H151" s="2">
        <v>873</v>
      </c>
      <c r="I151" s="2">
        <f t="shared" si="20"/>
        <v>23886</v>
      </c>
      <c r="J151" s="2">
        <v>1</v>
      </c>
      <c r="K151" s="2" t="s">
        <v>8</v>
      </c>
      <c r="L151" s="2" t="s">
        <v>10</v>
      </c>
      <c r="M151" s="2" t="s">
        <v>12</v>
      </c>
      <c r="N151" s="2" t="s">
        <v>12</v>
      </c>
      <c r="O151" s="2" t="s">
        <v>51</v>
      </c>
      <c r="P151" s="2">
        <f>IF(OR('Ground-Truth'!$C$2&lt;&gt;"Ja",'Ground-Truth'!$D$2=""),"",IF(TEXT(K151,"0")=TEXT('Ground-Truth'!$D$2,"0"),1,0))</f>
        <v>1</v>
      </c>
      <c r="Q151" s="2">
        <f>IF(OR('Ground-Truth'!$C$3&lt;&gt;"Ja",'Ground-Truth'!$D$3=""),"",IF(TEXT(L151,"0")=TEXT('Ground-Truth'!$D$3,"0"),1,0))</f>
        <v>1</v>
      </c>
      <c r="R151" s="2">
        <f>IF(OR('Ground-Truth'!$C$4&lt;&gt;"Ja",'Ground-Truth'!$D$4=""),"",IF(TEXT(M151,"0")=TEXT('Ground-Truth'!$D$4,"0"),1,0))</f>
        <v>1</v>
      </c>
      <c r="S151" s="2" t="str">
        <f>IF(OR('Ground-Truth'!$C$5&lt;&gt;"Ja",'Ground-Truth'!$D$5=""),"",IF(TEXT(N151,"0")=TEXT('Ground-Truth'!$D$5,"0"),1,0))</f>
        <v/>
      </c>
      <c r="T151" s="2" t="str">
        <f>IF(OR('Ground-Truth'!$C$6&lt;&gt;"Ja",'Ground-Truth'!$D$6=""),"",IF(TEXT(O151,"0")=TEXT('Ground-Truth'!$D$6,"0"),1,0))</f>
        <v/>
      </c>
      <c r="U151" s="2">
        <f t="shared" si="21"/>
        <v>3</v>
      </c>
      <c r="V151" s="2">
        <f t="shared" si="22"/>
        <v>3</v>
      </c>
      <c r="W151" s="2">
        <f t="shared" si="23"/>
        <v>100</v>
      </c>
      <c r="X151" s="4" t="str">
        <f t="shared" si="24"/>
        <v>gpt-5.2-chat_C6_BatchOnly</v>
      </c>
    </row>
    <row r="152" spans="1:24" ht="15" customHeight="1" x14ac:dyDescent="0.25">
      <c r="A152" s="3" t="s">
        <v>55</v>
      </c>
      <c r="B152" s="2" t="s">
        <v>57</v>
      </c>
      <c r="C152" s="2" t="s">
        <v>53</v>
      </c>
      <c r="D152" s="2">
        <v>1</v>
      </c>
      <c r="E152" s="2">
        <v>46.35</v>
      </c>
      <c r="F152" s="2">
        <v>4.0772999999999997E-2</v>
      </c>
      <c r="G152" s="2">
        <v>6571</v>
      </c>
      <c r="H152" s="2">
        <v>2091</v>
      </c>
      <c r="I152" s="2">
        <f t="shared" si="20"/>
        <v>8662</v>
      </c>
      <c r="J152" s="2">
        <v>5</v>
      </c>
      <c r="K152" s="2" t="s">
        <v>8</v>
      </c>
      <c r="L152" s="2" t="s">
        <v>10</v>
      </c>
      <c r="M152" s="2" t="s">
        <v>12</v>
      </c>
      <c r="N152" s="2" t="s">
        <v>12</v>
      </c>
      <c r="O152" s="2" t="s">
        <v>51</v>
      </c>
      <c r="P152" s="2">
        <f>IF(OR('Ground-Truth'!$C$2&lt;&gt;"Ja",'Ground-Truth'!$D$2=""),"",IF(TEXT(K152,"0")=TEXT('Ground-Truth'!$D$2,"0"),1,0))</f>
        <v>1</v>
      </c>
      <c r="Q152" s="2">
        <f>IF(OR('Ground-Truth'!$C$3&lt;&gt;"Ja",'Ground-Truth'!$D$3=""),"",IF(TEXT(L152,"0")=TEXT('Ground-Truth'!$D$3,"0"),1,0))</f>
        <v>1</v>
      </c>
      <c r="R152" s="2">
        <f>IF(OR('Ground-Truth'!$C$4&lt;&gt;"Ja",'Ground-Truth'!$D$4=""),"",IF(TEXT(M152,"0")=TEXT('Ground-Truth'!$D$4,"0"),1,0))</f>
        <v>1</v>
      </c>
      <c r="S152" s="2" t="str">
        <f>IF(OR('Ground-Truth'!$C$5&lt;&gt;"Ja",'Ground-Truth'!$D$5=""),"",IF(TEXT(N152,"0")=TEXT('Ground-Truth'!$D$5,"0"),1,0))</f>
        <v/>
      </c>
      <c r="T152" s="2" t="str">
        <f>IF(OR('Ground-Truth'!$C$6&lt;&gt;"Ja",'Ground-Truth'!$D$6=""),"",IF(TEXT(O152,"0")=TEXT('Ground-Truth'!$D$6,"0"),1,0))</f>
        <v/>
      </c>
      <c r="U152" s="2">
        <f t="shared" si="21"/>
        <v>3</v>
      </c>
      <c r="V152" s="2">
        <f t="shared" si="22"/>
        <v>3</v>
      </c>
      <c r="W152" s="2">
        <f t="shared" si="23"/>
        <v>100</v>
      </c>
      <c r="X152" s="4" t="str">
        <f t="shared" si="24"/>
        <v>gpt-5.2-chat_C7_FilterOnly</v>
      </c>
    </row>
    <row r="153" spans="1:24" ht="15" customHeight="1" x14ac:dyDescent="0.25">
      <c r="A153" s="3" t="s">
        <v>55</v>
      </c>
      <c r="B153" s="2" t="s">
        <v>57</v>
      </c>
      <c r="C153" s="2" t="s">
        <v>53</v>
      </c>
      <c r="D153" s="2">
        <v>2</v>
      </c>
      <c r="E153" s="2">
        <v>50.15</v>
      </c>
      <c r="F153" s="2">
        <v>4.8179E-2</v>
      </c>
      <c r="G153" s="2">
        <v>6571</v>
      </c>
      <c r="H153" s="2">
        <v>2620</v>
      </c>
      <c r="I153" s="2">
        <f t="shared" si="20"/>
        <v>9191</v>
      </c>
      <c r="J153" s="2">
        <v>5</v>
      </c>
      <c r="K153" s="2" t="s">
        <v>8</v>
      </c>
      <c r="L153" s="2" t="s">
        <v>10</v>
      </c>
      <c r="M153" s="2" t="s">
        <v>12</v>
      </c>
      <c r="N153" s="2" t="s">
        <v>12</v>
      </c>
      <c r="O153" s="2" t="s">
        <v>51</v>
      </c>
      <c r="P153" s="2">
        <f>IF(OR('Ground-Truth'!$C$2&lt;&gt;"Ja",'Ground-Truth'!$D$2=""),"",IF(TEXT(K153,"0")=TEXT('Ground-Truth'!$D$2,"0"),1,0))</f>
        <v>1</v>
      </c>
      <c r="Q153" s="2">
        <f>IF(OR('Ground-Truth'!$C$3&lt;&gt;"Ja",'Ground-Truth'!$D$3=""),"",IF(TEXT(L153,"0")=TEXT('Ground-Truth'!$D$3,"0"),1,0))</f>
        <v>1</v>
      </c>
      <c r="R153" s="2">
        <f>IF(OR('Ground-Truth'!$C$4&lt;&gt;"Ja",'Ground-Truth'!$D$4=""),"",IF(TEXT(M153,"0")=TEXT('Ground-Truth'!$D$4,"0"),1,0))</f>
        <v>1</v>
      </c>
      <c r="S153" s="2" t="str">
        <f>IF(OR('Ground-Truth'!$C$5&lt;&gt;"Ja",'Ground-Truth'!$D$5=""),"",IF(TEXT(N153,"0")=TEXT('Ground-Truth'!$D$5,"0"),1,0))</f>
        <v/>
      </c>
      <c r="T153" s="2" t="str">
        <f>IF(OR('Ground-Truth'!$C$6&lt;&gt;"Ja",'Ground-Truth'!$D$6=""),"",IF(TEXT(O153,"0")=TEXT('Ground-Truth'!$D$6,"0"),1,0))</f>
        <v/>
      </c>
      <c r="U153" s="2">
        <f t="shared" si="21"/>
        <v>3</v>
      </c>
      <c r="V153" s="2">
        <f t="shared" si="22"/>
        <v>3</v>
      </c>
      <c r="W153" s="2">
        <f t="shared" si="23"/>
        <v>100</v>
      </c>
      <c r="X153" s="4" t="str">
        <f t="shared" si="24"/>
        <v>gpt-5.2-chat_C7_FilterOnly</v>
      </c>
    </row>
    <row r="154" spans="1:24" ht="15" customHeight="1" x14ac:dyDescent="0.25">
      <c r="A154" s="3" t="s">
        <v>55</v>
      </c>
      <c r="B154" s="2" t="s">
        <v>57</v>
      </c>
      <c r="C154" s="2" t="s">
        <v>53</v>
      </c>
      <c r="D154" s="2">
        <v>3</v>
      </c>
      <c r="E154" s="2">
        <v>41.31</v>
      </c>
      <c r="F154" s="2">
        <v>4.2634999999999999E-2</v>
      </c>
      <c r="G154" s="2">
        <v>6571</v>
      </c>
      <c r="H154" s="2">
        <v>2224</v>
      </c>
      <c r="I154" s="2">
        <f t="shared" si="20"/>
        <v>8795</v>
      </c>
      <c r="J154" s="2">
        <v>5</v>
      </c>
      <c r="K154" s="2" t="s">
        <v>8</v>
      </c>
      <c r="L154" s="2" t="s">
        <v>10</v>
      </c>
      <c r="M154" s="2" t="s">
        <v>12</v>
      </c>
      <c r="N154" s="2" t="s">
        <v>12</v>
      </c>
      <c r="O154" s="2" t="s">
        <v>51</v>
      </c>
      <c r="P154" s="2">
        <f>IF(OR('Ground-Truth'!$C$2&lt;&gt;"Ja",'Ground-Truth'!$D$2=""),"",IF(TEXT(K154,"0")=TEXT('Ground-Truth'!$D$2,"0"),1,0))</f>
        <v>1</v>
      </c>
      <c r="Q154" s="2">
        <f>IF(OR('Ground-Truth'!$C$3&lt;&gt;"Ja",'Ground-Truth'!$D$3=""),"",IF(TEXT(L154,"0")=TEXT('Ground-Truth'!$D$3,"0"),1,0))</f>
        <v>1</v>
      </c>
      <c r="R154" s="2">
        <f>IF(OR('Ground-Truth'!$C$4&lt;&gt;"Ja",'Ground-Truth'!$D$4=""),"",IF(TEXT(M154,"0")=TEXT('Ground-Truth'!$D$4,"0"),1,0))</f>
        <v>1</v>
      </c>
      <c r="S154" s="2" t="str">
        <f>IF(OR('Ground-Truth'!$C$5&lt;&gt;"Ja",'Ground-Truth'!$D$5=""),"",IF(TEXT(N154,"0")=TEXT('Ground-Truth'!$D$5,"0"),1,0))</f>
        <v/>
      </c>
      <c r="T154" s="2" t="str">
        <f>IF(OR('Ground-Truth'!$C$6&lt;&gt;"Ja",'Ground-Truth'!$D$6=""),"",IF(TEXT(O154,"0")=TEXT('Ground-Truth'!$D$6,"0"),1,0))</f>
        <v/>
      </c>
      <c r="U154" s="2">
        <f t="shared" si="21"/>
        <v>3</v>
      </c>
      <c r="V154" s="2">
        <f t="shared" si="22"/>
        <v>3</v>
      </c>
      <c r="W154" s="2">
        <f t="shared" si="23"/>
        <v>100</v>
      </c>
      <c r="X154" s="4" t="str">
        <f t="shared" si="24"/>
        <v>gpt-5.2-chat_C7_FilterOnly</v>
      </c>
    </row>
    <row r="155" spans="1:24" ht="15" customHeight="1" x14ac:dyDescent="0.25">
      <c r="A155" s="3" t="s">
        <v>55</v>
      </c>
      <c r="B155" s="2" t="s">
        <v>57</v>
      </c>
      <c r="C155" s="2" t="s">
        <v>53</v>
      </c>
      <c r="D155" s="2">
        <v>4</v>
      </c>
      <c r="E155" s="2">
        <v>38.840000000000003</v>
      </c>
      <c r="F155" s="2">
        <v>4.3404999999999999E-2</v>
      </c>
      <c r="G155" s="2">
        <v>6571</v>
      </c>
      <c r="H155" s="2">
        <v>2279</v>
      </c>
      <c r="I155" s="2">
        <f t="shared" si="20"/>
        <v>8850</v>
      </c>
      <c r="J155" s="2">
        <v>5</v>
      </c>
      <c r="K155" s="2" t="s">
        <v>8</v>
      </c>
      <c r="L155" s="2" t="s">
        <v>10</v>
      </c>
      <c r="M155" s="2" t="s">
        <v>12</v>
      </c>
      <c r="N155" s="2" t="s">
        <v>12</v>
      </c>
      <c r="O155" s="2" t="s">
        <v>51</v>
      </c>
      <c r="P155" s="2">
        <f>IF(OR('Ground-Truth'!$C$2&lt;&gt;"Ja",'Ground-Truth'!$D$2=""),"",IF(TEXT(K155,"0")=TEXT('Ground-Truth'!$D$2,"0"),1,0))</f>
        <v>1</v>
      </c>
      <c r="Q155" s="2">
        <f>IF(OR('Ground-Truth'!$C$3&lt;&gt;"Ja",'Ground-Truth'!$D$3=""),"",IF(TEXT(L155,"0")=TEXT('Ground-Truth'!$D$3,"0"),1,0))</f>
        <v>1</v>
      </c>
      <c r="R155" s="2">
        <f>IF(OR('Ground-Truth'!$C$4&lt;&gt;"Ja",'Ground-Truth'!$D$4=""),"",IF(TEXT(M155,"0")=TEXT('Ground-Truth'!$D$4,"0"),1,0))</f>
        <v>1</v>
      </c>
      <c r="S155" s="2" t="str">
        <f>IF(OR('Ground-Truth'!$C$5&lt;&gt;"Ja",'Ground-Truth'!$D$5=""),"",IF(TEXT(N155,"0")=TEXT('Ground-Truth'!$D$5,"0"),1,0))</f>
        <v/>
      </c>
      <c r="T155" s="2" t="str">
        <f>IF(OR('Ground-Truth'!$C$6&lt;&gt;"Ja",'Ground-Truth'!$D$6=""),"",IF(TEXT(O155,"0")=TEXT('Ground-Truth'!$D$6,"0"),1,0))</f>
        <v/>
      </c>
      <c r="U155" s="2">
        <f t="shared" si="21"/>
        <v>3</v>
      </c>
      <c r="V155" s="2">
        <f t="shared" si="22"/>
        <v>3</v>
      </c>
      <c r="W155" s="2">
        <f t="shared" si="23"/>
        <v>100</v>
      </c>
      <c r="X155" s="4" t="str">
        <f t="shared" si="24"/>
        <v>gpt-5.2-chat_C7_FilterOnly</v>
      </c>
    </row>
    <row r="156" spans="1:24" ht="15" customHeight="1" x14ac:dyDescent="0.25">
      <c r="A156" s="3" t="s">
        <v>55</v>
      </c>
      <c r="B156" s="2" t="s">
        <v>57</v>
      </c>
      <c r="C156" s="2" t="s">
        <v>53</v>
      </c>
      <c r="D156" s="2">
        <v>5</v>
      </c>
      <c r="E156" s="2">
        <v>49.63</v>
      </c>
      <c r="F156" s="2">
        <v>4.6695E-2</v>
      </c>
      <c r="G156" s="2">
        <v>6571</v>
      </c>
      <c r="H156" s="2">
        <v>2514</v>
      </c>
      <c r="I156" s="2">
        <f t="shared" si="20"/>
        <v>9085</v>
      </c>
      <c r="J156" s="2">
        <v>5</v>
      </c>
      <c r="K156" s="2" t="s">
        <v>8</v>
      </c>
      <c r="L156" s="2" t="s">
        <v>10</v>
      </c>
      <c r="M156" s="2" t="s">
        <v>12</v>
      </c>
      <c r="N156" s="2" t="s">
        <v>12</v>
      </c>
      <c r="O156" s="2" t="s">
        <v>51</v>
      </c>
      <c r="P156" s="2">
        <f>IF(OR('Ground-Truth'!$C$2&lt;&gt;"Ja",'Ground-Truth'!$D$2=""),"",IF(TEXT(K156,"0")=TEXT('Ground-Truth'!$D$2,"0"),1,0))</f>
        <v>1</v>
      </c>
      <c r="Q156" s="2">
        <f>IF(OR('Ground-Truth'!$C$3&lt;&gt;"Ja",'Ground-Truth'!$D$3=""),"",IF(TEXT(L156,"0")=TEXT('Ground-Truth'!$D$3,"0"),1,0))</f>
        <v>1</v>
      </c>
      <c r="R156" s="2">
        <f>IF(OR('Ground-Truth'!$C$4&lt;&gt;"Ja",'Ground-Truth'!$D$4=""),"",IF(TEXT(M156,"0")=TEXT('Ground-Truth'!$D$4,"0"),1,0))</f>
        <v>1</v>
      </c>
      <c r="S156" s="2" t="str">
        <f>IF(OR('Ground-Truth'!$C$5&lt;&gt;"Ja",'Ground-Truth'!$D$5=""),"",IF(TEXT(N156,"0")=TEXT('Ground-Truth'!$D$5,"0"),1,0))</f>
        <v/>
      </c>
      <c r="T156" s="2" t="str">
        <f>IF(OR('Ground-Truth'!$C$6&lt;&gt;"Ja",'Ground-Truth'!$D$6=""),"",IF(TEXT(O156,"0")=TEXT('Ground-Truth'!$D$6,"0"),1,0))</f>
        <v/>
      </c>
      <c r="U156" s="2">
        <f t="shared" si="21"/>
        <v>3</v>
      </c>
      <c r="V156" s="2">
        <f t="shared" si="22"/>
        <v>3</v>
      </c>
      <c r="W156" s="2">
        <f t="shared" si="23"/>
        <v>100</v>
      </c>
      <c r="X156" s="4" t="str">
        <f t="shared" si="24"/>
        <v>gpt-5.2-chat_C7_FilterOnly</v>
      </c>
    </row>
    <row r="157" spans="1:24" ht="15" customHeight="1" x14ac:dyDescent="0.25">
      <c r="A157" s="3" t="s">
        <v>55</v>
      </c>
      <c r="B157" s="2" t="s">
        <v>58</v>
      </c>
      <c r="C157" s="2" t="s">
        <v>53</v>
      </c>
      <c r="D157" s="2">
        <v>1</v>
      </c>
      <c r="E157" s="2">
        <v>14.27</v>
      </c>
      <c r="F157" s="2">
        <v>2.0820999999999999E-2</v>
      </c>
      <c r="G157" s="2">
        <v>4418</v>
      </c>
      <c r="H157" s="2">
        <v>935</v>
      </c>
      <c r="I157" s="2">
        <f t="shared" si="20"/>
        <v>5353</v>
      </c>
      <c r="J157" s="2">
        <v>1</v>
      </c>
      <c r="K157" s="2" t="s">
        <v>8</v>
      </c>
      <c r="L157" s="2" t="s">
        <v>10</v>
      </c>
      <c r="M157" s="2" t="s">
        <v>12</v>
      </c>
      <c r="N157" s="2" t="s">
        <v>12</v>
      </c>
      <c r="O157" s="2" t="s">
        <v>15</v>
      </c>
      <c r="P157" s="2">
        <f>IF(OR('Ground-Truth'!$C$2&lt;&gt;"Ja",'Ground-Truth'!$D$2=""),"",IF(TEXT(K157,"0")=TEXT('Ground-Truth'!$D$2,"0"),1,0))</f>
        <v>1</v>
      </c>
      <c r="Q157" s="2">
        <f>IF(OR('Ground-Truth'!$C$3&lt;&gt;"Ja",'Ground-Truth'!$D$3=""),"",IF(TEXT(L157,"0")=TEXT('Ground-Truth'!$D$3,"0"),1,0))</f>
        <v>1</v>
      </c>
      <c r="R157" s="2">
        <f>IF(OR('Ground-Truth'!$C$4&lt;&gt;"Ja",'Ground-Truth'!$D$4=""),"",IF(TEXT(M157,"0")=TEXT('Ground-Truth'!$D$4,"0"),1,0))</f>
        <v>1</v>
      </c>
      <c r="S157" s="2" t="str">
        <f>IF(OR('Ground-Truth'!$C$5&lt;&gt;"Ja",'Ground-Truth'!$D$5=""),"",IF(TEXT(N157,"0")=TEXT('Ground-Truth'!$D$5,"0"),1,0))</f>
        <v/>
      </c>
      <c r="T157" s="2" t="str">
        <f>IF(OR('Ground-Truth'!$C$6&lt;&gt;"Ja",'Ground-Truth'!$D$6=""),"",IF(TEXT(O157,"0")=TEXT('Ground-Truth'!$D$6,"0"),1,0))</f>
        <v/>
      </c>
      <c r="U157" s="2">
        <f t="shared" si="21"/>
        <v>3</v>
      </c>
      <c r="V157" s="2">
        <f t="shared" si="22"/>
        <v>3</v>
      </c>
      <c r="W157" s="2">
        <f t="shared" si="23"/>
        <v>100</v>
      </c>
      <c r="X157" s="4" t="str">
        <f t="shared" si="24"/>
        <v>gpt-5.2-chat_C8_BatchFiltered_NoName</v>
      </c>
    </row>
    <row r="158" spans="1:24" ht="15" customHeight="1" x14ac:dyDescent="0.25">
      <c r="A158" s="3" t="s">
        <v>55</v>
      </c>
      <c r="B158" s="2" t="s">
        <v>58</v>
      </c>
      <c r="C158" s="2" t="s">
        <v>53</v>
      </c>
      <c r="D158" s="2">
        <v>2</v>
      </c>
      <c r="E158" s="2">
        <v>17.66</v>
      </c>
      <c r="F158" s="2">
        <v>2.4573999999999999E-2</v>
      </c>
      <c r="G158" s="2">
        <v>4418</v>
      </c>
      <c r="H158" s="2">
        <v>1203</v>
      </c>
      <c r="I158" s="2">
        <f t="shared" si="20"/>
        <v>5621</v>
      </c>
      <c r="J158" s="2">
        <v>1</v>
      </c>
      <c r="K158" s="2" t="s">
        <v>8</v>
      </c>
      <c r="L158" s="2" t="s">
        <v>10</v>
      </c>
      <c r="M158" s="2" t="s">
        <v>12</v>
      </c>
      <c r="N158" s="2" t="s">
        <v>12</v>
      </c>
      <c r="O158" s="2" t="s">
        <v>15</v>
      </c>
      <c r="P158" s="2">
        <f>IF(OR('Ground-Truth'!$C$2&lt;&gt;"Ja",'Ground-Truth'!$D$2=""),"",IF(TEXT(K158,"0")=TEXT('Ground-Truth'!$D$2,"0"),1,0))</f>
        <v>1</v>
      </c>
      <c r="Q158" s="2">
        <f>IF(OR('Ground-Truth'!$C$3&lt;&gt;"Ja",'Ground-Truth'!$D$3=""),"",IF(TEXT(L158,"0")=TEXT('Ground-Truth'!$D$3,"0"),1,0))</f>
        <v>1</v>
      </c>
      <c r="R158" s="2">
        <f>IF(OR('Ground-Truth'!$C$4&lt;&gt;"Ja",'Ground-Truth'!$D$4=""),"",IF(TEXT(M158,"0")=TEXT('Ground-Truth'!$D$4,"0"),1,0))</f>
        <v>1</v>
      </c>
      <c r="S158" s="2" t="str">
        <f>IF(OR('Ground-Truth'!$C$5&lt;&gt;"Ja",'Ground-Truth'!$D$5=""),"",IF(TEXT(N158,"0")=TEXT('Ground-Truth'!$D$5,"0"),1,0))</f>
        <v/>
      </c>
      <c r="T158" s="2" t="str">
        <f>IF(OR('Ground-Truth'!$C$6&lt;&gt;"Ja",'Ground-Truth'!$D$6=""),"",IF(TEXT(O158,"0")=TEXT('Ground-Truth'!$D$6,"0"),1,0))</f>
        <v/>
      </c>
      <c r="U158" s="2">
        <f t="shared" si="21"/>
        <v>3</v>
      </c>
      <c r="V158" s="2">
        <f t="shared" si="22"/>
        <v>3</v>
      </c>
      <c r="W158" s="2">
        <f t="shared" si="23"/>
        <v>100</v>
      </c>
      <c r="X158" s="4" t="str">
        <f t="shared" si="24"/>
        <v>gpt-5.2-chat_C8_BatchFiltered_NoName</v>
      </c>
    </row>
    <row r="159" spans="1:24" ht="15" customHeight="1" x14ac:dyDescent="0.25">
      <c r="A159" s="3" t="s">
        <v>55</v>
      </c>
      <c r="B159" s="2" t="s">
        <v>58</v>
      </c>
      <c r="C159" s="2" t="s">
        <v>53</v>
      </c>
      <c r="D159" s="2">
        <v>3</v>
      </c>
      <c r="E159" s="2">
        <v>15.14</v>
      </c>
      <c r="F159" s="2">
        <v>2.0806999999999999E-2</v>
      </c>
      <c r="G159" s="2">
        <v>4418</v>
      </c>
      <c r="H159" s="2">
        <v>934</v>
      </c>
      <c r="I159" s="2">
        <f t="shared" si="20"/>
        <v>5352</v>
      </c>
      <c r="J159" s="2">
        <v>1</v>
      </c>
      <c r="K159" s="2" t="s">
        <v>8</v>
      </c>
      <c r="L159" s="2" t="s">
        <v>12</v>
      </c>
      <c r="M159" s="2" t="s">
        <v>12</v>
      </c>
      <c r="N159" s="2" t="s">
        <v>12</v>
      </c>
      <c r="O159" s="2" t="s">
        <v>15</v>
      </c>
      <c r="P159" s="2">
        <f>IF(OR('Ground-Truth'!$C$2&lt;&gt;"Ja",'Ground-Truth'!$D$2=""),"",IF(TEXT(K159,"0")=TEXT('Ground-Truth'!$D$2,"0"),1,0))</f>
        <v>1</v>
      </c>
      <c r="Q159" s="2">
        <f>IF(OR('Ground-Truth'!$C$3&lt;&gt;"Ja",'Ground-Truth'!$D$3=""),"",IF(TEXT(L159,"0")=TEXT('Ground-Truth'!$D$3,"0"),1,0))</f>
        <v>0</v>
      </c>
      <c r="R159" s="2">
        <f>IF(OR('Ground-Truth'!$C$4&lt;&gt;"Ja",'Ground-Truth'!$D$4=""),"",IF(TEXT(M159,"0")=TEXT('Ground-Truth'!$D$4,"0"),1,0))</f>
        <v>1</v>
      </c>
      <c r="S159" s="2" t="str">
        <f>IF(OR('Ground-Truth'!$C$5&lt;&gt;"Ja",'Ground-Truth'!$D$5=""),"",IF(TEXT(N159,"0")=TEXT('Ground-Truth'!$D$5,"0"),1,0))</f>
        <v/>
      </c>
      <c r="T159" s="2" t="str">
        <f>IF(OR('Ground-Truth'!$C$6&lt;&gt;"Ja",'Ground-Truth'!$D$6=""),"",IF(TEXT(O159,"0")=TEXT('Ground-Truth'!$D$6,"0"),1,0))</f>
        <v/>
      </c>
      <c r="U159" s="2">
        <f t="shared" si="21"/>
        <v>2</v>
      </c>
      <c r="V159" s="2">
        <f t="shared" si="22"/>
        <v>3</v>
      </c>
      <c r="W159" s="2">
        <f t="shared" si="23"/>
        <v>66.666666666666657</v>
      </c>
      <c r="X159" s="4" t="str">
        <f t="shared" si="24"/>
        <v>gpt-5.2-chat_C8_BatchFiltered_NoName</v>
      </c>
    </row>
    <row r="160" spans="1:24" ht="15" customHeight="1" x14ac:dyDescent="0.25">
      <c r="A160" s="3" t="s">
        <v>55</v>
      </c>
      <c r="B160" s="2" t="s">
        <v>58</v>
      </c>
      <c r="C160" s="2" t="s">
        <v>53</v>
      </c>
      <c r="D160" s="2">
        <v>4</v>
      </c>
      <c r="E160" s="2">
        <v>17.75</v>
      </c>
      <c r="F160" s="2">
        <v>2.1618999999999999E-2</v>
      </c>
      <c r="G160" s="2">
        <v>4418</v>
      </c>
      <c r="H160" s="2">
        <v>992</v>
      </c>
      <c r="I160" s="2">
        <f t="shared" si="20"/>
        <v>5410</v>
      </c>
      <c r="J160" s="2">
        <v>1</v>
      </c>
      <c r="K160" s="2" t="s">
        <v>8</v>
      </c>
      <c r="L160" s="2" t="s">
        <v>10</v>
      </c>
      <c r="M160" s="2" t="s">
        <v>12</v>
      </c>
      <c r="N160" s="2" t="s">
        <v>12</v>
      </c>
      <c r="O160" s="2" t="s">
        <v>15</v>
      </c>
      <c r="P160" s="2">
        <f>IF(OR('Ground-Truth'!$C$2&lt;&gt;"Ja",'Ground-Truth'!$D$2=""),"",IF(TEXT(K160,"0")=TEXT('Ground-Truth'!$D$2,"0"),1,0))</f>
        <v>1</v>
      </c>
      <c r="Q160" s="2">
        <f>IF(OR('Ground-Truth'!$C$3&lt;&gt;"Ja",'Ground-Truth'!$D$3=""),"",IF(TEXT(L160,"0")=TEXT('Ground-Truth'!$D$3,"0"),1,0))</f>
        <v>1</v>
      </c>
      <c r="R160" s="2">
        <f>IF(OR('Ground-Truth'!$C$4&lt;&gt;"Ja",'Ground-Truth'!$D$4=""),"",IF(TEXT(M160,"0")=TEXT('Ground-Truth'!$D$4,"0"),1,0))</f>
        <v>1</v>
      </c>
      <c r="S160" s="2" t="str">
        <f>IF(OR('Ground-Truth'!$C$5&lt;&gt;"Ja",'Ground-Truth'!$D$5=""),"",IF(TEXT(N160,"0")=TEXT('Ground-Truth'!$D$5,"0"),1,0))</f>
        <v/>
      </c>
      <c r="T160" s="2" t="str">
        <f>IF(OR('Ground-Truth'!$C$6&lt;&gt;"Ja",'Ground-Truth'!$D$6=""),"",IF(TEXT(O160,"0")=TEXT('Ground-Truth'!$D$6,"0"),1,0))</f>
        <v/>
      </c>
      <c r="U160" s="2">
        <f t="shared" si="21"/>
        <v>3</v>
      </c>
      <c r="V160" s="2">
        <f t="shared" si="22"/>
        <v>3</v>
      </c>
      <c r="W160" s="2">
        <f t="shared" si="23"/>
        <v>100</v>
      </c>
      <c r="X160" s="4" t="str">
        <f t="shared" si="24"/>
        <v>gpt-5.2-chat_C8_BatchFiltered_NoName</v>
      </c>
    </row>
    <row r="161" spans="1:24" ht="15" customHeight="1" x14ac:dyDescent="0.25">
      <c r="A161" s="8" t="s">
        <v>55</v>
      </c>
      <c r="B161" s="9" t="s">
        <v>58</v>
      </c>
      <c r="C161" s="9" t="s">
        <v>53</v>
      </c>
      <c r="D161" s="9">
        <v>5</v>
      </c>
      <c r="E161" s="9">
        <v>15.36</v>
      </c>
      <c r="F161" s="9">
        <v>2.1618999999999999E-2</v>
      </c>
      <c r="G161" s="9">
        <v>4418</v>
      </c>
      <c r="H161" s="9">
        <v>992</v>
      </c>
      <c r="I161" s="9">
        <f t="shared" si="20"/>
        <v>5410</v>
      </c>
      <c r="J161" s="9">
        <v>1</v>
      </c>
      <c r="K161" s="9" t="s">
        <v>8</v>
      </c>
      <c r="L161" s="9" t="s">
        <v>10</v>
      </c>
      <c r="M161" s="9" t="s">
        <v>12</v>
      </c>
      <c r="N161" s="9" t="s">
        <v>12</v>
      </c>
      <c r="O161" s="9" t="s">
        <v>15</v>
      </c>
      <c r="P161" s="9">
        <f>IF(OR('Ground-Truth'!$C$2&lt;&gt;"Ja",'Ground-Truth'!$D$2=""),"",IF(TEXT(K161,"0")=TEXT('Ground-Truth'!$D$2,"0"),1,0))</f>
        <v>1</v>
      </c>
      <c r="Q161" s="9">
        <f>IF(OR('Ground-Truth'!$C$3&lt;&gt;"Ja",'Ground-Truth'!$D$3=""),"",IF(TEXT(L161,"0")=TEXT('Ground-Truth'!$D$3,"0"),1,0))</f>
        <v>1</v>
      </c>
      <c r="R161" s="9">
        <f>IF(OR('Ground-Truth'!$C$4&lt;&gt;"Ja",'Ground-Truth'!$D$4=""),"",IF(TEXT(M161,"0")=TEXT('Ground-Truth'!$D$4,"0"),1,0))</f>
        <v>1</v>
      </c>
      <c r="S161" s="9" t="str">
        <f>IF(OR('Ground-Truth'!$C$5&lt;&gt;"Ja",'Ground-Truth'!$D$5=""),"",IF(TEXT(N161,"0")=TEXT('Ground-Truth'!$D$5,"0"),1,0))</f>
        <v/>
      </c>
      <c r="T161" s="9" t="str">
        <f>IF(OR('Ground-Truth'!$C$6&lt;&gt;"Ja",'Ground-Truth'!$D$6=""),"",IF(TEXT(O161,"0")=TEXT('Ground-Truth'!$D$6,"0"),1,0))</f>
        <v/>
      </c>
      <c r="U161" s="9">
        <f t="shared" si="21"/>
        <v>3</v>
      </c>
      <c r="V161" s="9">
        <f t="shared" si="22"/>
        <v>3</v>
      </c>
      <c r="W161" s="9">
        <f t="shared" si="23"/>
        <v>100</v>
      </c>
      <c r="X161" s="10" t="str">
        <f t="shared" si="24"/>
        <v>gpt-5.2-chat_C8_BatchFiltered_NoName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baseColWidth="10" defaultColWidth="24.5703125" defaultRowHeight="15" x14ac:dyDescent="0.25"/>
  <cols>
    <col min="1" max="1" width="25.7109375" customWidth="1"/>
  </cols>
  <sheetData>
    <row r="1" spans="1:7" x14ac:dyDescent="0.25">
      <c r="A1" s="1" t="s">
        <v>17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x14ac:dyDescent="0.25">
      <c r="A2" s="2" t="s">
        <v>41</v>
      </c>
      <c r="B2" s="2">
        <f>IFERROR(AVERAGEIF('★ Ablation-Study'!$B$2:$B$33,A2,'★ Ablation-Study'!$E$2:$E$33),"-")</f>
        <v>65</v>
      </c>
      <c r="C2" s="2">
        <f>AVERAGEIF('★ Ablation-Study'!$B$2:$B$33,A2,'★ Ablation-Study'!$I$2:$I$33)</f>
        <v>2.6953250000000002E-2</v>
      </c>
      <c r="D2" s="2">
        <f>AVERAGEIF('★ Ablation-Study'!$B$2:$B$33,A2,'★ Ablation-Study'!$K$2:$K$33)</f>
        <v>47.897500000000001</v>
      </c>
      <c r="E2" s="2">
        <f>AVERAGEIF('★ Ablation-Study'!$B$2:$B$33,A2,'★ Ablation-Study'!$L$2:$L$33)</f>
        <v>26538.25</v>
      </c>
      <c r="F2" s="2">
        <f t="shared" ref="F2:F9" si="0">IFERROR(B2-$B$5,"-")</f>
        <v>-35</v>
      </c>
      <c r="G2" s="2">
        <f t="shared" ref="G2:G9" si="1">IFERROR((C2-$C$5)/$C$5*100,"-")</f>
        <v>-73.749489296780538</v>
      </c>
    </row>
    <row r="3" spans="1:7" x14ac:dyDescent="0.25">
      <c r="A3" s="2" t="s">
        <v>44</v>
      </c>
      <c r="B3" s="2">
        <f>IFERROR(AVERAGEIF('★ Ablation-Study'!$B$2:$B$33,A3,'★ Ablation-Study'!$E$2:$E$33),"-")</f>
        <v>76.666666666666657</v>
      </c>
      <c r="C3" s="2">
        <f>AVERAGEIF('★ Ablation-Study'!$B$2:$B$33,A3,'★ Ablation-Study'!$I$2:$I$33)</f>
        <v>1.981875E-2</v>
      </c>
      <c r="D3" s="2">
        <f>AVERAGEIF('★ Ablation-Study'!$B$2:$B$33,A3,'★ Ablation-Study'!$K$2:$K$33)</f>
        <v>68.832000000000008</v>
      </c>
      <c r="E3" s="2">
        <f>AVERAGEIF('★ Ablation-Study'!$B$2:$B$33,A3,'★ Ablation-Study'!$L$2:$L$33)</f>
        <v>12969.7</v>
      </c>
      <c r="F3" s="2">
        <f t="shared" si="0"/>
        <v>-23.333333333333343</v>
      </c>
      <c r="G3" s="2">
        <f t="shared" si="1"/>
        <v>-80.697974863905813</v>
      </c>
    </row>
    <row r="4" spans="1:7" x14ac:dyDescent="0.25">
      <c r="A4" s="2" t="s">
        <v>46</v>
      </c>
      <c r="B4" s="2">
        <f>IFERROR(AVERAGEIF('★ Ablation-Study'!$B$2:$B$33,A4,'★ Ablation-Study'!$E$2:$E$33),"-")</f>
        <v>70</v>
      </c>
      <c r="C4" s="2">
        <f>AVERAGEIF('★ Ablation-Study'!$B$2:$B$33,A4,'★ Ablation-Study'!$I$2:$I$33)</f>
        <v>0.10200999999999999</v>
      </c>
      <c r="D4" s="2">
        <f>AVERAGEIF('★ Ablation-Study'!$B$2:$B$33,A4,'★ Ablation-Study'!$K$2:$K$33)</f>
        <v>77.040000000000006</v>
      </c>
      <c r="E4" s="2">
        <f>AVERAGEIF('★ Ablation-Study'!$B$2:$B$33,A4,'★ Ablation-Study'!$L$2:$L$33)</f>
        <v>117755.85</v>
      </c>
      <c r="F4" s="2">
        <f t="shared" si="0"/>
        <v>-30</v>
      </c>
      <c r="G4" s="2">
        <f t="shared" si="1"/>
        <v>-0.64965832189375927</v>
      </c>
    </row>
    <row r="5" spans="1:7" x14ac:dyDescent="0.25">
      <c r="A5" s="2" t="s">
        <v>47</v>
      </c>
      <c r="B5" s="2">
        <f>IFERROR(AVERAGEIF('★ Ablation-Study'!$B$2:$B$33,A5,'★ Ablation-Study'!$E$2:$E$33),"-")</f>
        <v>100</v>
      </c>
      <c r="C5" s="2">
        <f>AVERAGEIF('★ Ablation-Study'!$B$2:$B$33,A5,'★ Ablation-Study'!$I$2:$I$33)</f>
        <v>0.10267705000000001</v>
      </c>
      <c r="D5" s="2">
        <f>AVERAGEIF('★ Ablation-Study'!$B$2:$B$33,A5,'★ Ablation-Study'!$K$2:$K$33)</f>
        <v>60.977999999999994</v>
      </c>
      <c r="E5" s="2">
        <f>AVERAGEIF('★ Ablation-Study'!$B$2:$B$33,A5,'★ Ablation-Study'!$L$2:$L$33)</f>
        <v>117967.40000000001</v>
      </c>
      <c r="F5" s="2">
        <f t="shared" si="0"/>
        <v>0</v>
      </c>
      <c r="G5" s="2">
        <f t="shared" si="1"/>
        <v>0</v>
      </c>
    </row>
    <row r="6" spans="1:7" x14ac:dyDescent="0.25">
      <c r="A6" s="2" t="s">
        <v>48</v>
      </c>
      <c r="B6" s="2">
        <f>IFERROR(AVERAGEIF('★ Ablation-Study'!$B$2:$B$33,A6,'★ Ablation-Study'!$E$2:$E$33),"-")</f>
        <v>63.333333333333329</v>
      </c>
      <c r="C6" s="2">
        <f>AVERAGEIF('★ Ablation-Study'!$B$2:$B$33,A6,'★ Ablation-Study'!$I$2:$I$33)</f>
        <v>1.2147649999999999E-2</v>
      </c>
      <c r="D6" s="2">
        <f>AVERAGEIF('★ Ablation-Study'!$B$2:$B$33,A6,'★ Ablation-Study'!$K$2:$K$33)</f>
        <v>41.287999999999997</v>
      </c>
      <c r="E6" s="2">
        <f>AVERAGEIF('★ Ablation-Study'!$B$2:$B$33,A6,'★ Ablation-Study'!$L$2:$L$33)</f>
        <v>8069.5499999999993</v>
      </c>
      <c r="F6" s="2">
        <f t="shared" si="0"/>
        <v>-36.666666666666671</v>
      </c>
      <c r="G6" s="2">
        <f t="shared" si="1"/>
        <v>-88.169069913870729</v>
      </c>
    </row>
    <row r="7" spans="1:7" x14ac:dyDescent="0.25">
      <c r="A7" s="2" t="s">
        <v>56</v>
      </c>
      <c r="B7" s="2">
        <f>IFERROR(AVERAGEIF('★ Ablation-Study'!$B$2:$B$33,A7,'★ Ablation-Study'!$E$2:$E$33),"-")</f>
        <v>96.666666666666657</v>
      </c>
      <c r="C7" s="2">
        <f>AVERAGEIF('★ Ablation-Study'!$B$2:$B$33,A7,'★ Ablation-Study'!$I$2:$I$33)</f>
        <v>2.6613600000000001E-2</v>
      </c>
      <c r="D7" s="2">
        <f>AVERAGEIF('★ Ablation-Study'!$B$2:$B$33,A7,'★ Ablation-Study'!$K$2:$K$33)</f>
        <v>25.944000000000003</v>
      </c>
      <c r="E7" s="2">
        <f>AVERAGEIF('★ Ablation-Study'!$B$2:$B$33,A7,'★ Ablation-Study'!$L$2:$L$33)</f>
        <v>26036.049999999996</v>
      </c>
      <c r="F7" s="2">
        <f t="shared" si="0"/>
        <v>-3.3333333333333428</v>
      </c>
      <c r="G7" s="2">
        <f t="shared" si="1"/>
        <v>-74.080283763508987</v>
      </c>
    </row>
    <row r="8" spans="1:7" x14ac:dyDescent="0.25">
      <c r="A8" s="2" t="s">
        <v>57</v>
      </c>
      <c r="B8" s="2">
        <f>IFERROR(AVERAGEIF('★ Ablation-Study'!$B$2:$B$33,A8,'★ Ablation-Study'!$E$2:$E$33),"-")</f>
        <v>95</v>
      </c>
      <c r="C8" s="2">
        <f>AVERAGEIF('★ Ablation-Study'!$B$2:$B$33,A8,'★ Ablation-Study'!$I$2:$I$33)</f>
        <v>2.0201250000000004E-2</v>
      </c>
      <c r="D8" s="2">
        <f>AVERAGEIF('★ Ablation-Study'!$B$2:$B$33,A8,'★ Ablation-Study'!$K$2:$K$33)</f>
        <v>63.490999999999993</v>
      </c>
      <c r="E8" s="2">
        <f>AVERAGEIF('★ Ablation-Study'!$B$2:$B$33,A8,'★ Ablation-Study'!$L$2:$L$33)</f>
        <v>13309.35</v>
      </c>
      <c r="F8" s="2">
        <f t="shared" si="0"/>
        <v>-5</v>
      </c>
      <c r="G8" s="2">
        <f t="shared" si="1"/>
        <v>-80.325447604893213</v>
      </c>
    </row>
    <row r="9" spans="1:7" ht="30" x14ac:dyDescent="0.25">
      <c r="A9" s="2" t="s">
        <v>58</v>
      </c>
      <c r="B9" s="2">
        <f>IFERROR(AVERAGEIF('★ Ablation-Study'!$B$2:$B$33,A9,'★ Ablation-Study'!$E$2:$E$33),"-")</f>
        <v>89.999999999999986</v>
      </c>
      <c r="C9" s="2">
        <f>AVERAGEIF('★ Ablation-Study'!$B$2:$B$33,A9,'★ Ablation-Study'!$I$2:$I$33)</f>
        <v>1.15161E-2</v>
      </c>
      <c r="D9" s="2">
        <f>AVERAGEIF('★ Ablation-Study'!$B$2:$B$33,A9,'★ Ablation-Study'!$K$2:$K$33)</f>
        <v>24.040500000000005</v>
      </c>
      <c r="E9" s="2">
        <f>AVERAGEIF('★ Ablation-Study'!$B$2:$B$33,A9,'★ Ablation-Study'!$L$2:$L$33)</f>
        <v>7245.45</v>
      </c>
      <c r="F9" s="2">
        <f t="shared" si="0"/>
        <v>-10.000000000000014</v>
      </c>
      <c r="G9" s="2">
        <f t="shared" si="1"/>
        <v>-88.784153810418204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23.7109375" defaultRowHeight="15" x14ac:dyDescent="0.25"/>
  <sheetData>
    <row r="1" spans="1:7" x14ac:dyDescent="0.25">
      <c r="A1" s="1" t="s">
        <v>18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80</v>
      </c>
      <c r="G1" s="1" t="s">
        <v>81</v>
      </c>
    </row>
    <row r="2" spans="1:7" x14ac:dyDescent="0.25">
      <c r="A2" s="2" t="s">
        <v>42</v>
      </c>
      <c r="B2" s="2">
        <f>IFERROR(AVERAGEIF('★ Ablation-Study'!$A$2:$A$33,A2,'★ Ablation-Study'!$E$2:$E$33),"-")</f>
        <v>84.999999999999986</v>
      </c>
      <c r="C2" s="2">
        <f>AVERAGEIF('★ Ablation-Study'!$A$2:$A$33,A2,'★ Ablation-Study'!$I$2:$I$33)</f>
        <v>5.9202250000000003E-3</v>
      </c>
      <c r="D2" s="2">
        <f>AVERAGEIF('★ Ablation-Study'!$A$2:$A$33,A2,'★ Ablation-Study'!$K$2:$K$33)</f>
        <v>15.20725</v>
      </c>
      <c r="E2" s="2">
        <f>AVERAGEIF('★ Ablation-Study'!$A$2:$A$33,A2,'★ Ablation-Study'!$L$2:$L$33)</f>
        <v>37253.875</v>
      </c>
      <c r="F2" s="2">
        <f>AVERAGEIF('★ Ablation-Study'!$A$2:$A$33,A2,'★ Ablation-Study'!$M$2:$M$33)</f>
        <v>36515.75</v>
      </c>
      <c r="G2" s="2">
        <f>IFERROR(B2/(C2*1000),"-")</f>
        <v>14.357562423725447</v>
      </c>
    </row>
    <row r="3" spans="1:7" x14ac:dyDescent="0.25">
      <c r="A3" s="2" t="s">
        <v>49</v>
      </c>
      <c r="B3" s="2">
        <f>IFERROR(AVERAGEIF('★ Ablation-Study'!$A$2:$A$33,A3,'★ Ablation-Study'!$E$2:$E$33),"-")</f>
        <v>75</v>
      </c>
      <c r="C3" s="2">
        <f>AVERAGEIF('★ Ablation-Study'!$A$2:$A$33,A3,'★ Ablation-Study'!$I$2:$I$33)</f>
        <v>7.8240250000000018E-3</v>
      </c>
      <c r="D3" s="2">
        <f>AVERAGEIF('★ Ablation-Study'!$A$2:$A$33,A3,'★ Ablation-Study'!$K$2:$K$33)</f>
        <v>143.27850000000001</v>
      </c>
      <c r="E3" s="2">
        <f>AVERAGEIF('★ Ablation-Study'!$A$2:$A$33,A3,'★ Ablation-Study'!$L$2:$L$33)</f>
        <v>51508.800000000003</v>
      </c>
      <c r="F3" s="2">
        <f>AVERAGEIF('★ Ablation-Study'!$A$2:$A$33,A3,'★ Ablation-Study'!$M$2:$M$33)</f>
        <v>36512.75</v>
      </c>
      <c r="G3" s="2">
        <f>IFERROR(B3/(C3*1000),"-")</f>
        <v>9.5858589408903967</v>
      </c>
    </row>
    <row r="4" spans="1:7" x14ac:dyDescent="0.25">
      <c r="A4" s="2" t="s">
        <v>52</v>
      </c>
      <c r="B4" s="2">
        <f>IFERROR(AVERAGEIF('★ Ablation-Study'!$A$2:$A$33,A4,'★ Ablation-Study'!$E$2:$E$33),"-")</f>
        <v>84.166666666666657</v>
      </c>
      <c r="C4" s="2">
        <f>AVERAGEIF('★ Ablation-Study'!$A$2:$A$33,A4,'★ Ablation-Study'!$I$2:$I$33)</f>
        <v>6.1851224999999996E-2</v>
      </c>
      <c r="D4" s="2">
        <f>AVERAGEIF('★ Ablation-Study'!$A$2:$A$33,A4,'★ Ablation-Study'!$K$2:$K$33)</f>
        <v>16.221999999999998</v>
      </c>
      <c r="E4" s="2">
        <f>AVERAGEIF('★ Ablation-Study'!$A$2:$A$33,A4,'★ Ablation-Study'!$L$2:$L$33)</f>
        <v>38136.375</v>
      </c>
      <c r="F4" s="2">
        <f>AVERAGEIF('★ Ablation-Study'!$A$2:$A$33,A4,'★ Ablation-Study'!$M$2:$M$33)</f>
        <v>36515.75</v>
      </c>
      <c r="G4" s="2">
        <f>IFERROR(B4/(C4*1000),"-")</f>
        <v>1.3607922343763874</v>
      </c>
    </row>
    <row r="5" spans="1:7" x14ac:dyDescent="0.25">
      <c r="A5" s="2" t="s">
        <v>53</v>
      </c>
      <c r="B5" s="2">
        <f>IFERROR(AVERAGEIF('★ Ablation-Study'!$A$2:$A$33,A5,'★ Ablation-Study'!$E$2:$E$33),"-")</f>
        <v>84.166666666666657</v>
      </c>
      <c r="C5" s="2">
        <f>AVERAGEIF('★ Ablation-Study'!$A$2:$A$33,A5,'★ Ablation-Study'!$I$2:$I$33)</f>
        <v>8.5373350000000001E-2</v>
      </c>
      <c r="D5" s="2">
        <f>AVERAGEIF('★ Ablation-Study'!$A$2:$A$33,A5,'★ Ablation-Study'!$K$2:$K$33)</f>
        <v>30.047749999999997</v>
      </c>
      <c r="E5" s="2">
        <f>AVERAGEIF('★ Ablation-Study'!$A$2:$A$33,A5,'★ Ablation-Study'!$L$2:$L$33)</f>
        <v>38046.75</v>
      </c>
      <c r="F5" s="2">
        <f>AVERAGEIF('★ Ablation-Study'!$A$2:$A$33,A5,'★ Ablation-Study'!$M$2:$M$33)</f>
        <v>36512.75</v>
      </c>
      <c r="G5" s="2">
        <f>IFERROR(B5/(C5*1000),"-")</f>
        <v>0.98586580785065425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1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10.42578125" customWidth="1"/>
    <col min="2" max="2" width="20" customWidth="1"/>
    <col min="3" max="3" width="50" customWidth="1"/>
    <col min="4" max="4" width="20" customWidth="1"/>
    <col min="5" max="5" width="14" customWidth="1"/>
    <col min="6" max="6" width="25" customWidth="1"/>
    <col min="7" max="7" width="22.42578125" customWidth="1"/>
    <col min="8" max="8" width="24.5703125" customWidth="1"/>
    <col min="9" max="9" width="50" customWidth="1"/>
  </cols>
  <sheetData>
    <row r="1" spans="1:9" x14ac:dyDescent="0.25">
      <c r="A1" s="5" t="s">
        <v>0</v>
      </c>
      <c r="B1" s="6" t="s">
        <v>1</v>
      </c>
      <c r="C1" s="6" t="s">
        <v>87</v>
      </c>
      <c r="D1" s="6" t="s">
        <v>88</v>
      </c>
      <c r="E1" s="6" t="s">
        <v>18</v>
      </c>
      <c r="F1" s="6" t="s">
        <v>17</v>
      </c>
      <c r="G1" s="6" t="s">
        <v>38</v>
      </c>
      <c r="H1" s="6" t="s">
        <v>89</v>
      </c>
      <c r="I1" s="7" t="s">
        <v>90</v>
      </c>
    </row>
    <row r="2" spans="1:9" x14ac:dyDescent="0.25">
      <c r="A2" s="3">
        <v>1</v>
      </c>
      <c r="B2" s="2" t="str">
        <f>'Ground-Truth'!B2</f>
        <v>Deckschicht</v>
      </c>
      <c r="C2" s="2" t="str">
        <f>IF('Ground-Truth'!C2="Ja","✓ Ausgewertet","⊘ Ausgeschlossen")</f>
        <v>✓ Ausgewertet</v>
      </c>
      <c r="D2" s="2">
        <f>'Ground-Truth'!D2</f>
        <v>864</v>
      </c>
      <c r="E2" s="2" t="s">
        <v>42</v>
      </c>
      <c r="F2" s="2" t="s">
        <v>41</v>
      </c>
      <c r="G2" s="2">
        <f>IF('Ground-Truth'!C2&lt;&gt;"Ja","-",IFERROR(H2/I2*100,"-"))</f>
        <v>20</v>
      </c>
      <c r="H2" s="2">
        <f>IF('Ground-Truth'!C2&lt;&gt;"Ja","-",SUMIFS('Benchmark-Runs'!$P$2:$P$161,'Benchmark-Runs'!$C$2:$C$161,E2,'Benchmark-Runs'!$B$2:$B$161,F2))</f>
        <v>1</v>
      </c>
      <c r="I2" s="4">
        <f>IF('Ground-Truth'!C2&lt;&gt;"Ja","-",COUNTIFS('Benchmark-Runs'!$C$2:$C$161,E2,'Benchmark-Runs'!$B$2:$B$161,F2))</f>
        <v>5</v>
      </c>
    </row>
    <row r="3" spans="1:9" x14ac:dyDescent="0.25">
      <c r="A3" s="3">
        <v>1</v>
      </c>
      <c r="B3" s="2" t="str">
        <f>'Ground-Truth'!B2</f>
        <v>Deckschicht</v>
      </c>
      <c r="C3" s="2" t="str">
        <f>IF('Ground-Truth'!C2="Ja","✓ Ausgewertet","⊘ Ausgeschlossen")</f>
        <v>✓ Ausgewertet</v>
      </c>
      <c r="D3" s="2">
        <f>'Ground-Truth'!D2</f>
        <v>864</v>
      </c>
      <c r="E3" s="2" t="s">
        <v>42</v>
      </c>
      <c r="F3" s="2" t="s">
        <v>44</v>
      </c>
      <c r="G3" s="2">
        <f>IF('Ground-Truth'!C2&lt;&gt;"Ja","-",IFERROR(H3/I3*100,"-"))</f>
        <v>20</v>
      </c>
      <c r="H3" s="2">
        <f>IF('Ground-Truth'!C2&lt;&gt;"Ja","-",SUMIFS('Benchmark-Runs'!$P$2:$P$161,'Benchmark-Runs'!$C$2:$C$161,E3,'Benchmark-Runs'!$B$2:$B$161,F3))</f>
        <v>1</v>
      </c>
      <c r="I3" s="4">
        <f>IF('Ground-Truth'!C2&lt;&gt;"Ja","-",COUNTIFS('Benchmark-Runs'!$C$2:$C$161,E3,'Benchmark-Runs'!$B$2:$B$161,F3))</f>
        <v>5</v>
      </c>
    </row>
    <row r="4" spans="1:9" x14ac:dyDescent="0.25">
      <c r="A4" s="3">
        <v>1</v>
      </c>
      <c r="B4" s="2" t="str">
        <f>'Ground-Truth'!B2</f>
        <v>Deckschicht</v>
      </c>
      <c r="C4" s="2" t="str">
        <f>IF('Ground-Truth'!C2="Ja","✓ Ausgewertet","⊘ Ausgeschlossen")</f>
        <v>✓ Ausgewertet</v>
      </c>
      <c r="D4" s="2">
        <f>'Ground-Truth'!D2</f>
        <v>864</v>
      </c>
      <c r="E4" s="2" t="s">
        <v>42</v>
      </c>
      <c r="F4" s="2" t="s">
        <v>46</v>
      </c>
      <c r="G4" s="2">
        <f>IF('Ground-Truth'!C2&lt;&gt;"Ja","-",IFERROR(H4/I4*100,"-"))</f>
        <v>60</v>
      </c>
      <c r="H4" s="2">
        <f>IF('Ground-Truth'!C2&lt;&gt;"Ja","-",SUMIFS('Benchmark-Runs'!$P$2:$P$161,'Benchmark-Runs'!$C$2:$C$161,E4,'Benchmark-Runs'!$B$2:$B$161,F4))</f>
        <v>3</v>
      </c>
      <c r="I4" s="4">
        <f>IF('Ground-Truth'!C2&lt;&gt;"Ja","-",COUNTIFS('Benchmark-Runs'!$C$2:$C$161,E4,'Benchmark-Runs'!$B$2:$B$161,F4))</f>
        <v>5</v>
      </c>
    </row>
    <row r="5" spans="1:9" x14ac:dyDescent="0.25">
      <c r="A5" s="3">
        <v>1</v>
      </c>
      <c r="B5" s="2" t="str">
        <f>'Ground-Truth'!B2</f>
        <v>Deckschicht</v>
      </c>
      <c r="C5" s="2" t="str">
        <f>IF('Ground-Truth'!C2="Ja","✓ Ausgewertet","⊘ Ausgeschlossen")</f>
        <v>✓ Ausgewertet</v>
      </c>
      <c r="D5" s="2">
        <f>'Ground-Truth'!D2</f>
        <v>864</v>
      </c>
      <c r="E5" s="2" t="s">
        <v>42</v>
      </c>
      <c r="F5" s="2" t="s">
        <v>47</v>
      </c>
      <c r="G5" s="2">
        <f>IF('Ground-Truth'!C2&lt;&gt;"Ja","-",IFERROR(H5/I5*100,"-"))</f>
        <v>100</v>
      </c>
      <c r="H5" s="2">
        <f>IF('Ground-Truth'!C2&lt;&gt;"Ja","-",SUMIFS('Benchmark-Runs'!$P$2:$P$161,'Benchmark-Runs'!$C$2:$C$161,E5,'Benchmark-Runs'!$B$2:$B$161,F5))</f>
        <v>5</v>
      </c>
      <c r="I5" s="4">
        <f>IF('Ground-Truth'!C2&lt;&gt;"Ja","-",COUNTIFS('Benchmark-Runs'!$C$2:$C$161,E5,'Benchmark-Runs'!$B$2:$B$161,F5))</f>
        <v>5</v>
      </c>
    </row>
    <row r="6" spans="1:9" x14ac:dyDescent="0.25">
      <c r="A6" s="3">
        <v>1</v>
      </c>
      <c r="B6" s="2" t="str">
        <f>'Ground-Truth'!B2</f>
        <v>Deckschicht</v>
      </c>
      <c r="C6" s="2" t="str">
        <f>IF('Ground-Truth'!C2="Ja","✓ Ausgewertet","⊘ Ausgeschlossen")</f>
        <v>✓ Ausgewertet</v>
      </c>
      <c r="D6" s="2">
        <f>'Ground-Truth'!D2</f>
        <v>864</v>
      </c>
      <c r="E6" s="2" t="s">
        <v>42</v>
      </c>
      <c r="F6" s="2" t="s">
        <v>48</v>
      </c>
      <c r="G6" s="2">
        <f>IF('Ground-Truth'!C2&lt;&gt;"Ja","-",IFERROR(H6/I6*100,"-"))</f>
        <v>0</v>
      </c>
      <c r="H6" s="2">
        <f>IF('Ground-Truth'!C2&lt;&gt;"Ja","-",SUMIFS('Benchmark-Runs'!$P$2:$P$161,'Benchmark-Runs'!$C$2:$C$161,E6,'Benchmark-Runs'!$B$2:$B$161,F6))</f>
        <v>0</v>
      </c>
      <c r="I6" s="4">
        <f>IF('Ground-Truth'!C2&lt;&gt;"Ja","-",COUNTIFS('Benchmark-Runs'!$C$2:$C$161,E6,'Benchmark-Runs'!$B$2:$B$161,F6))</f>
        <v>5</v>
      </c>
    </row>
    <row r="7" spans="1:9" x14ac:dyDescent="0.25">
      <c r="A7" s="3">
        <v>1</v>
      </c>
      <c r="B7" s="2" t="str">
        <f>'Ground-Truth'!B2</f>
        <v>Deckschicht</v>
      </c>
      <c r="C7" s="2" t="str">
        <f>IF('Ground-Truth'!C2="Ja","✓ Ausgewertet","⊘ Ausgeschlossen")</f>
        <v>✓ Ausgewertet</v>
      </c>
      <c r="D7" s="2">
        <f>'Ground-Truth'!D2</f>
        <v>864</v>
      </c>
      <c r="E7" s="2" t="s">
        <v>42</v>
      </c>
      <c r="F7" s="2" t="s">
        <v>56</v>
      </c>
      <c r="G7" s="2">
        <f>IF('Ground-Truth'!C2&lt;&gt;"Ja","-",IFERROR(H7/I7*100,"-"))</f>
        <v>100</v>
      </c>
      <c r="H7" s="2">
        <f>IF('Ground-Truth'!C2&lt;&gt;"Ja","-",SUMIFS('Benchmark-Runs'!$P$2:$P$161,'Benchmark-Runs'!$C$2:$C$161,E7,'Benchmark-Runs'!$B$2:$B$161,F7))</f>
        <v>5</v>
      </c>
      <c r="I7" s="4">
        <f>IF('Ground-Truth'!C2&lt;&gt;"Ja","-",COUNTIFS('Benchmark-Runs'!$C$2:$C$161,E7,'Benchmark-Runs'!$B$2:$B$161,F7))</f>
        <v>5</v>
      </c>
    </row>
    <row r="8" spans="1:9" x14ac:dyDescent="0.25">
      <c r="A8" s="3">
        <v>1</v>
      </c>
      <c r="B8" s="2" t="str">
        <f>'Ground-Truth'!B2</f>
        <v>Deckschicht</v>
      </c>
      <c r="C8" s="2" t="str">
        <f>IF('Ground-Truth'!C2="Ja","✓ Ausgewertet","⊘ Ausgeschlossen")</f>
        <v>✓ Ausgewertet</v>
      </c>
      <c r="D8" s="2">
        <f>'Ground-Truth'!D2</f>
        <v>864</v>
      </c>
      <c r="E8" s="2" t="s">
        <v>42</v>
      </c>
      <c r="F8" s="2" t="s">
        <v>57</v>
      </c>
      <c r="G8" s="2">
        <f>IF('Ground-Truth'!C2&lt;&gt;"Ja","-",IFERROR(H8/I8*100,"-"))</f>
        <v>100</v>
      </c>
      <c r="H8" s="2">
        <f>IF('Ground-Truth'!C2&lt;&gt;"Ja","-",SUMIFS('Benchmark-Runs'!$P$2:$P$161,'Benchmark-Runs'!$C$2:$C$161,E8,'Benchmark-Runs'!$B$2:$B$161,F8))</f>
        <v>5</v>
      </c>
      <c r="I8" s="4">
        <f>IF('Ground-Truth'!C2&lt;&gt;"Ja","-",COUNTIFS('Benchmark-Runs'!$C$2:$C$161,E8,'Benchmark-Runs'!$B$2:$B$161,F8))</f>
        <v>5</v>
      </c>
    </row>
    <row r="9" spans="1:9" ht="30" x14ac:dyDescent="0.25">
      <c r="A9" s="3">
        <v>1</v>
      </c>
      <c r="B9" s="2" t="str">
        <f>'Ground-Truth'!B2</f>
        <v>Deckschicht</v>
      </c>
      <c r="C9" s="2" t="str">
        <f>IF('Ground-Truth'!C2="Ja","✓ Ausgewertet","⊘ Ausgeschlossen")</f>
        <v>✓ Ausgewertet</v>
      </c>
      <c r="D9" s="2">
        <f>'Ground-Truth'!D2</f>
        <v>864</v>
      </c>
      <c r="E9" s="2" t="s">
        <v>42</v>
      </c>
      <c r="F9" s="2" t="s">
        <v>58</v>
      </c>
      <c r="G9" s="2">
        <f>IF('Ground-Truth'!C2&lt;&gt;"Ja","-",IFERROR(H9/I9*100,"-"))</f>
        <v>40</v>
      </c>
      <c r="H9" s="2">
        <f>IF('Ground-Truth'!C2&lt;&gt;"Ja","-",SUMIFS('Benchmark-Runs'!$P$2:$P$161,'Benchmark-Runs'!$C$2:$C$161,E9,'Benchmark-Runs'!$B$2:$B$161,F9))</f>
        <v>2</v>
      </c>
      <c r="I9" s="4">
        <f>IF('Ground-Truth'!C2&lt;&gt;"Ja","-",COUNTIFS('Benchmark-Runs'!$C$2:$C$161,E9,'Benchmark-Runs'!$B$2:$B$161,F9))</f>
        <v>5</v>
      </c>
    </row>
    <row r="10" spans="1:9" x14ac:dyDescent="0.25">
      <c r="A10" s="3">
        <v>1</v>
      </c>
      <c r="B10" s="2" t="str">
        <f>'Ground-Truth'!B2</f>
        <v>Deckschicht</v>
      </c>
      <c r="C10" s="2" t="str">
        <f>IF('Ground-Truth'!C2="Ja","✓ Ausgewertet","⊘ Ausgeschlossen")</f>
        <v>✓ Ausgewertet</v>
      </c>
      <c r="D10" s="2">
        <f>'Ground-Truth'!D2</f>
        <v>864</v>
      </c>
      <c r="E10" s="2" t="s">
        <v>49</v>
      </c>
      <c r="F10" s="2" t="s">
        <v>41</v>
      </c>
      <c r="G10" s="2">
        <f>IF('Ground-Truth'!C2&lt;&gt;"Ja","-",IFERROR(H10/I10*100,"-"))</f>
        <v>0</v>
      </c>
      <c r="H10" s="2">
        <f>IF('Ground-Truth'!C2&lt;&gt;"Ja","-",SUMIFS('Benchmark-Runs'!$P$2:$P$161,'Benchmark-Runs'!$C$2:$C$161,E10,'Benchmark-Runs'!$B$2:$B$161,F10))</f>
        <v>0</v>
      </c>
      <c r="I10" s="4">
        <f>IF('Ground-Truth'!C2&lt;&gt;"Ja","-",COUNTIFS('Benchmark-Runs'!$C$2:$C$161,E10,'Benchmark-Runs'!$B$2:$B$161,F10))</f>
        <v>5</v>
      </c>
    </row>
    <row r="11" spans="1:9" x14ac:dyDescent="0.25">
      <c r="A11" s="3">
        <v>1</v>
      </c>
      <c r="B11" s="2" t="str">
        <f>'Ground-Truth'!B2</f>
        <v>Deckschicht</v>
      </c>
      <c r="C11" s="2" t="str">
        <f>IF('Ground-Truth'!C2="Ja","✓ Ausgewertet","⊘ Ausgeschlossen")</f>
        <v>✓ Ausgewertet</v>
      </c>
      <c r="D11" s="2">
        <f>'Ground-Truth'!D2</f>
        <v>864</v>
      </c>
      <c r="E11" s="2" t="s">
        <v>49</v>
      </c>
      <c r="F11" s="2" t="s">
        <v>44</v>
      </c>
      <c r="G11" s="2">
        <f>IF('Ground-Truth'!C2&lt;&gt;"Ja","-",IFERROR(H11/I11*100,"-"))</f>
        <v>0</v>
      </c>
      <c r="H11" s="2">
        <f>IF('Ground-Truth'!C2&lt;&gt;"Ja","-",SUMIFS('Benchmark-Runs'!$P$2:$P$161,'Benchmark-Runs'!$C$2:$C$161,E11,'Benchmark-Runs'!$B$2:$B$161,F11))</f>
        <v>0</v>
      </c>
      <c r="I11" s="4">
        <f>IF('Ground-Truth'!C2&lt;&gt;"Ja","-",COUNTIFS('Benchmark-Runs'!$C$2:$C$161,E11,'Benchmark-Runs'!$B$2:$B$161,F11))</f>
        <v>5</v>
      </c>
    </row>
    <row r="12" spans="1:9" x14ac:dyDescent="0.25">
      <c r="A12" s="3">
        <v>1</v>
      </c>
      <c r="B12" s="2" t="str">
        <f>'Ground-Truth'!B2</f>
        <v>Deckschicht</v>
      </c>
      <c r="C12" s="2" t="str">
        <f>IF('Ground-Truth'!C2="Ja","✓ Ausgewertet","⊘ Ausgeschlossen")</f>
        <v>✓ Ausgewertet</v>
      </c>
      <c r="D12" s="2">
        <f>'Ground-Truth'!D2</f>
        <v>864</v>
      </c>
      <c r="E12" s="2" t="s">
        <v>49</v>
      </c>
      <c r="F12" s="2" t="s">
        <v>46</v>
      </c>
      <c r="G12" s="2">
        <f>IF('Ground-Truth'!C2&lt;&gt;"Ja","-",IFERROR(H12/I12*100,"-"))</f>
        <v>0</v>
      </c>
      <c r="H12" s="2">
        <f>IF('Ground-Truth'!C2&lt;&gt;"Ja","-",SUMIFS('Benchmark-Runs'!$P$2:$P$161,'Benchmark-Runs'!$C$2:$C$161,E12,'Benchmark-Runs'!$B$2:$B$161,F12))</f>
        <v>0</v>
      </c>
      <c r="I12" s="4">
        <f>IF('Ground-Truth'!C2&lt;&gt;"Ja","-",COUNTIFS('Benchmark-Runs'!$C$2:$C$161,E12,'Benchmark-Runs'!$B$2:$B$161,F12))</f>
        <v>5</v>
      </c>
    </row>
    <row r="13" spans="1:9" x14ac:dyDescent="0.25">
      <c r="A13" s="3">
        <v>1</v>
      </c>
      <c r="B13" s="2" t="str">
        <f>'Ground-Truth'!B2</f>
        <v>Deckschicht</v>
      </c>
      <c r="C13" s="2" t="str">
        <f>IF('Ground-Truth'!C2="Ja","✓ Ausgewertet","⊘ Ausgeschlossen")</f>
        <v>✓ Ausgewertet</v>
      </c>
      <c r="D13" s="2">
        <f>'Ground-Truth'!D2</f>
        <v>864</v>
      </c>
      <c r="E13" s="2" t="s">
        <v>49</v>
      </c>
      <c r="F13" s="2" t="s">
        <v>47</v>
      </c>
      <c r="G13" s="2">
        <f>IF('Ground-Truth'!C2&lt;&gt;"Ja","-",IFERROR(H13/I13*100,"-"))</f>
        <v>100</v>
      </c>
      <c r="H13" s="2">
        <f>IF('Ground-Truth'!C2&lt;&gt;"Ja","-",SUMIFS('Benchmark-Runs'!$P$2:$P$161,'Benchmark-Runs'!$C$2:$C$161,E13,'Benchmark-Runs'!$B$2:$B$161,F13))</f>
        <v>5</v>
      </c>
      <c r="I13" s="4">
        <f>IF('Ground-Truth'!C2&lt;&gt;"Ja","-",COUNTIFS('Benchmark-Runs'!$C$2:$C$161,E13,'Benchmark-Runs'!$B$2:$B$161,F13))</f>
        <v>5</v>
      </c>
    </row>
    <row r="14" spans="1:9" x14ac:dyDescent="0.25">
      <c r="A14" s="3">
        <v>1</v>
      </c>
      <c r="B14" s="2" t="str">
        <f>'Ground-Truth'!B2</f>
        <v>Deckschicht</v>
      </c>
      <c r="C14" s="2" t="str">
        <f>IF('Ground-Truth'!C2="Ja","✓ Ausgewertet","⊘ Ausgeschlossen")</f>
        <v>✓ Ausgewertet</v>
      </c>
      <c r="D14" s="2">
        <f>'Ground-Truth'!D2</f>
        <v>864</v>
      </c>
      <c r="E14" s="2" t="s">
        <v>49</v>
      </c>
      <c r="F14" s="2" t="s">
        <v>48</v>
      </c>
      <c r="G14" s="2">
        <f>IF('Ground-Truth'!C2&lt;&gt;"Ja","-",IFERROR(H14/I14*100,"-"))</f>
        <v>20</v>
      </c>
      <c r="H14" s="2">
        <f>IF('Ground-Truth'!C2&lt;&gt;"Ja","-",SUMIFS('Benchmark-Runs'!$P$2:$P$161,'Benchmark-Runs'!$C$2:$C$161,E14,'Benchmark-Runs'!$B$2:$B$161,F14))</f>
        <v>1</v>
      </c>
      <c r="I14" s="4">
        <f>IF('Ground-Truth'!C2&lt;&gt;"Ja","-",COUNTIFS('Benchmark-Runs'!$C$2:$C$161,E14,'Benchmark-Runs'!$B$2:$B$161,F14))</f>
        <v>5</v>
      </c>
    </row>
    <row r="15" spans="1:9" x14ac:dyDescent="0.25">
      <c r="A15" s="3">
        <v>1</v>
      </c>
      <c r="B15" s="2" t="str">
        <f>'Ground-Truth'!B2</f>
        <v>Deckschicht</v>
      </c>
      <c r="C15" s="2" t="str">
        <f>IF('Ground-Truth'!C2="Ja","✓ Ausgewertet","⊘ Ausgeschlossen")</f>
        <v>✓ Ausgewertet</v>
      </c>
      <c r="D15" s="2">
        <f>'Ground-Truth'!D2</f>
        <v>864</v>
      </c>
      <c r="E15" s="2" t="s">
        <v>49</v>
      </c>
      <c r="F15" s="2" t="s">
        <v>56</v>
      </c>
      <c r="G15" s="2">
        <f>IF('Ground-Truth'!C2&lt;&gt;"Ja","-",IFERROR(H15/I15*100,"-"))</f>
        <v>80</v>
      </c>
      <c r="H15" s="2">
        <f>IF('Ground-Truth'!C2&lt;&gt;"Ja","-",SUMIFS('Benchmark-Runs'!$P$2:$P$161,'Benchmark-Runs'!$C$2:$C$161,E15,'Benchmark-Runs'!$B$2:$B$161,F15))</f>
        <v>4</v>
      </c>
      <c r="I15" s="4">
        <f>IF('Ground-Truth'!C2&lt;&gt;"Ja","-",COUNTIFS('Benchmark-Runs'!$C$2:$C$161,E15,'Benchmark-Runs'!$B$2:$B$161,F15))</f>
        <v>5</v>
      </c>
    </row>
    <row r="16" spans="1:9" x14ac:dyDescent="0.25">
      <c r="A16" s="3">
        <v>1</v>
      </c>
      <c r="B16" s="2" t="str">
        <f>'Ground-Truth'!B2</f>
        <v>Deckschicht</v>
      </c>
      <c r="C16" s="2" t="str">
        <f>IF('Ground-Truth'!C2="Ja","✓ Ausgewertet","⊘ Ausgeschlossen")</f>
        <v>✓ Ausgewertet</v>
      </c>
      <c r="D16" s="2">
        <f>'Ground-Truth'!D2</f>
        <v>864</v>
      </c>
      <c r="E16" s="2" t="s">
        <v>49</v>
      </c>
      <c r="F16" s="2" t="s">
        <v>57</v>
      </c>
      <c r="G16" s="2">
        <f>IF('Ground-Truth'!C2&lt;&gt;"Ja","-",IFERROR(H16/I16*100,"-"))</f>
        <v>60</v>
      </c>
      <c r="H16" s="2">
        <f>IF('Ground-Truth'!C2&lt;&gt;"Ja","-",SUMIFS('Benchmark-Runs'!$P$2:$P$161,'Benchmark-Runs'!$C$2:$C$161,E16,'Benchmark-Runs'!$B$2:$B$161,F16))</f>
        <v>3</v>
      </c>
      <c r="I16" s="4">
        <f>IF('Ground-Truth'!C2&lt;&gt;"Ja","-",COUNTIFS('Benchmark-Runs'!$C$2:$C$161,E16,'Benchmark-Runs'!$B$2:$B$161,F16))</f>
        <v>5</v>
      </c>
    </row>
    <row r="17" spans="1:9" ht="30" x14ac:dyDescent="0.25">
      <c r="A17" s="3">
        <v>1</v>
      </c>
      <c r="B17" s="2" t="str">
        <f>'Ground-Truth'!B2</f>
        <v>Deckschicht</v>
      </c>
      <c r="C17" s="2" t="str">
        <f>IF('Ground-Truth'!C2="Ja","✓ Ausgewertet","⊘ Ausgeschlossen")</f>
        <v>✓ Ausgewertet</v>
      </c>
      <c r="D17" s="2">
        <f>'Ground-Truth'!D2</f>
        <v>864</v>
      </c>
      <c r="E17" s="2" t="s">
        <v>49</v>
      </c>
      <c r="F17" s="2" t="s">
        <v>58</v>
      </c>
      <c r="G17" s="2">
        <f>IF('Ground-Truth'!C2&lt;&gt;"Ja","-",IFERROR(H17/I17*100,"-"))</f>
        <v>60</v>
      </c>
      <c r="H17" s="2">
        <f>IF('Ground-Truth'!C2&lt;&gt;"Ja","-",SUMIFS('Benchmark-Runs'!$P$2:$P$161,'Benchmark-Runs'!$C$2:$C$161,E17,'Benchmark-Runs'!$B$2:$B$161,F17))</f>
        <v>3</v>
      </c>
      <c r="I17" s="4">
        <f>IF('Ground-Truth'!C2&lt;&gt;"Ja","-",COUNTIFS('Benchmark-Runs'!$C$2:$C$161,E17,'Benchmark-Runs'!$B$2:$B$161,F17))</f>
        <v>5</v>
      </c>
    </row>
    <row r="18" spans="1:9" x14ac:dyDescent="0.25">
      <c r="A18" s="3">
        <v>1</v>
      </c>
      <c r="B18" s="2" t="str">
        <f>'Ground-Truth'!B2</f>
        <v>Deckschicht</v>
      </c>
      <c r="C18" s="2" t="str">
        <f>IF('Ground-Truth'!C2="Ja","✓ Ausgewertet","⊘ Ausgeschlossen")</f>
        <v>✓ Ausgewertet</v>
      </c>
      <c r="D18" s="2">
        <f>'Ground-Truth'!D2</f>
        <v>864</v>
      </c>
      <c r="E18" s="2" t="s">
        <v>52</v>
      </c>
      <c r="F18" s="2" t="s">
        <v>41</v>
      </c>
      <c r="G18" s="2">
        <f>IF('Ground-Truth'!C2&lt;&gt;"Ja","-",IFERROR(H18/I18*100,"-"))</f>
        <v>0</v>
      </c>
      <c r="H18" s="2">
        <f>IF('Ground-Truth'!C2&lt;&gt;"Ja","-",SUMIFS('Benchmark-Runs'!$P$2:$P$161,'Benchmark-Runs'!$C$2:$C$161,E18,'Benchmark-Runs'!$B$2:$B$161,F18))</f>
        <v>0</v>
      </c>
      <c r="I18" s="4">
        <f>IF('Ground-Truth'!C2&lt;&gt;"Ja","-",COUNTIFS('Benchmark-Runs'!$C$2:$C$161,E18,'Benchmark-Runs'!$B$2:$B$161,F18))</f>
        <v>5</v>
      </c>
    </row>
    <row r="19" spans="1:9" x14ac:dyDescent="0.25">
      <c r="A19" s="3">
        <v>1</v>
      </c>
      <c r="B19" s="2" t="str">
        <f>'Ground-Truth'!B2</f>
        <v>Deckschicht</v>
      </c>
      <c r="C19" s="2" t="str">
        <f>IF('Ground-Truth'!C2="Ja","✓ Ausgewertet","⊘ Ausgeschlossen")</f>
        <v>✓ Ausgewertet</v>
      </c>
      <c r="D19" s="2">
        <f>'Ground-Truth'!D2</f>
        <v>864</v>
      </c>
      <c r="E19" s="2" t="s">
        <v>52</v>
      </c>
      <c r="F19" s="2" t="s">
        <v>44</v>
      </c>
      <c r="G19" s="2">
        <f>IF('Ground-Truth'!C2&lt;&gt;"Ja","-",IFERROR(H19/I19*100,"-"))</f>
        <v>20</v>
      </c>
      <c r="H19" s="2">
        <f>IF('Ground-Truth'!C2&lt;&gt;"Ja","-",SUMIFS('Benchmark-Runs'!$P$2:$P$161,'Benchmark-Runs'!$C$2:$C$161,E19,'Benchmark-Runs'!$B$2:$B$161,F19))</f>
        <v>1</v>
      </c>
      <c r="I19" s="4">
        <f>IF('Ground-Truth'!C2&lt;&gt;"Ja","-",COUNTIFS('Benchmark-Runs'!$C$2:$C$161,E19,'Benchmark-Runs'!$B$2:$B$161,F19))</f>
        <v>5</v>
      </c>
    </row>
    <row r="20" spans="1:9" x14ac:dyDescent="0.25">
      <c r="A20" s="3">
        <v>1</v>
      </c>
      <c r="B20" s="2" t="str">
        <f>'Ground-Truth'!B2</f>
        <v>Deckschicht</v>
      </c>
      <c r="C20" s="2" t="str">
        <f>IF('Ground-Truth'!C2="Ja","✓ Ausgewertet","⊘ Ausgeschlossen")</f>
        <v>✓ Ausgewertet</v>
      </c>
      <c r="D20" s="2">
        <f>'Ground-Truth'!D2</f>
        <v>864</v>
      </c>
      <c r="E20" s="2" t="s">
        <v>52</v>
      </c>
      <c r="F20" s="2" t="s">
        <v>46</v>
      </c>
      <c r="G20" s="2">
        <f>IF('Ground-Truth'!C2&lt;&gt;"Ja","-",IFERROR(H20/I20*100,"-"))</f>
        <v>0</v>
      </c>
      <c r="H20" s="2">
        <f>IF('Ground-Truth'!C2&lt;&gt;"Ja","-",SUMIFS('Benchmark-Runs'!$P$2:$P$161,'Benchmark-Runs'!$C$2:$C$161,E20,'Benchmark-Runs'!$B$2:$B$161,F20))</f>
        <v>0</v>
      </c>
      <c r="I20" s="4">
        <f>IF('Ground-Truth'!C2&lt;&gt;"Ja","-",COUNTIFS('Benchmark-Runs'!$C$2:$C$161,E20,'Benchmark-Runs'!$B$2:$B$161,F20))</f>
        <v>5</v>
      </c>
    </row>
    <row r="21" spans="1:9" x14ac:dyDescent="0.25">
      <c r="A21" s="3">
        <v>1</v>
      </c>
      <c r="B21" s="2" t="str">
        <f>'Ground-Truth'!B2</f>
        <v>Deckschicht</v>
      </c>
      <c r="C21" s="2" t="str">
        <f>IF('Ground-Truth'!C2="Ja","✓ Ausgewertet","⊘ Ausgeschlossen")</f>
        <v>✓ Ausgewertet</v>
      </c>
      <c r="D21" s="2">
        <f>'Ground-Truth'!D2</f>
        <v>864</v>
      </c>
      <c r="E21" s="2" t="s">
        <v>52</v>
      </c>
      <c r="F21" s="2" t="s">
        <v>47</v>
      </c>
      <c r="G21" s="2">
        <f>IF('Ground-Truth'!C2&lt;&gt;"Ja","-",IFERROR(H21/I21*100,"-"))</f>
        <v>100</v>
      </c>
      <c r="H21" s="2">
        <f>IF('Ground-Truth'!C2&lt;&gt;"Ja","-",SUMIFS('Benchmark-Runs'!$P$2:$P$161,'Benchmark-Runs'!$C$2:$C$161,E21,'Benchmark-Runs'!$B$2:$B$161,F21))</f>
        <v>5</v>
      </c>
      <c r="I21" s="4">
        <f>IF('Ground-Truth'!C2&lt;&gt;"Ja","-",COUNTIFS('Benchmark-Runs'!$C$2:$C$161,E21,'Benchmark-Runs'!$B$2:$B$161,F21))</f>
        <v>5</v>
      </c>
    </row>
    <row r="22" spans="1:9" x14ac:dyDescent="0.25">
      <c r="A22" s="3">
        <v>1</v>
      </c>
      <c r="B22" s="2" t="str">
        <f>'Ground-Truth'!B2</f>
        <v>Deckschicht</v>
      </c>
      <c r="C22" s="2" t="str">
        <f>IF('Ground-Truth'!C2="Ja","✓ Ausgewertet","⊘ Ausgeschlossen")</f>
        <v>✓ Ausgewertet</v>
      </c>
      <c r="D22" s="2">
        <f>'Ground-Truth'!D2</f>
        <v>864</v>
      </c>
      <c r="E22" s="2" t="s">
        <v>52</v>
      </c>
      <c r="F22" s="2" t="s">
        <v>48</v>
      </c>
      <c r="G22" s="2">
        <f>IF('Ground-Truth'!C2&lt;&gt;"Ja","-",IFERROR(H22/I22*100,"-"))</f>
        <v>0</v>
      </c>
      <c r="H22" s="2">
        <f>IF('Ground-Truth'!C2&lt;&gt;"Ja","-",SUMIFS('Benchmark-Runs'!$P$2:$P$161,'Benchmark-Runs'!$C$2:$C$161,E22,'Benchmark-Runs'!$B$2:$B$161,F22))</f>
        <v>0</v>
      </c>
      <c r="I22" s="4">
        <f>IF('Ground-Truth'!C2&lt;&gt;"Ja","-",COUNTIFS('Benchmark-Runs'!$C$2:$C$161,E22,'Benchmark-Runs'!$B$2:$B$161,F22))</f>
        <v>5</v>
      </c>
    </row>
    <row r="23" spans="1:9" x14ac:dyDescent="0.25">
      <c r="A23" s="3">
        <v>1</v>
      </c>
      <c r="B23" s="2" t="str">
        <f>'Ground-Truth'!B2</f>
        <v>Deckschicht</v>
      </c>
      <c r="C23" s="2" t="str">
        <f>IF('Ground-Truth'!C2="Ja","✓ Ausgewertet","⊘ Ausgeschlossen")</f>
        <v>✓ Ausgewertet</v>
      </c>
      <c r="D23" s="2">
        <f>'Ground-Truth'!D2</f>
        <v>864</v>
      </c>
      <c r="E23" s="2" t="s">
        <v>52</v>
      </c>
      <c r="F23" s="2" t="s">
        <v>56</v>
      </c>
      <c r="G23" s="2">
        <f>IF('Ground-Truth'!C2&lt;&gt;"Ja","-",IFERROR(H23/I23*100,"-"))</f>
        <v>100</v>
      </c>
      <c r="H23" s="2">
        <f>IF('Ground-Truth'!C2&lt;&gt;"Ja","-",SUMIFS('Benchmark-Runs'!$P$2:$P$161,'Benchmark-Runs'!$C$2:$C$161,E23,'Benchmark-Runs'!$B$2:$B$161,F23))</f>
        <v>5</v>
      </c>
      <c r="I23" s="4">
        <f>IF('Ground-Truth'!C2&lt;&gt;"Ja","-",COUNTIFS('Benchmark-Runs'!$C$2:$C$161,E23,'Benchmark-Runs'!$B$2:$B$161,F23))</f>
        <v>5</v>
      </c>
    </row>
    <row r="24" spans="1:9" x14ac:dyDescent="0.25">
      <c r="A24" s="3">
        <v>1</v>
      </c>
      <c r="B24" s="2" t="str">
        <f>'Ground-Truth'!B2</f>
        <v>Deckschicht</v>
      </c>
      <c r="C24" s="2" t="str">
        <f>IF('Ground-Truth'!C2="Ja","✓ Ausgewertet","⊘ Ausgeschlossen")</f>
        <v>✓ Ausgewertet</v>
      </c>
      <c r="D24" s="2">
        <f>'Ground-Truth'!D2</f>
        <v>864</v>
      </c>
      <c r="E24" s="2" t="s">
        <v>52</v>
      </c>
      <c r="F24" s="2" t="s">
        <v>57</v>
      </c>
      <c r="G24" s="2">
        <f>IF('Ground-Truth'!C2&lt;&gt;"Ja","-",IFERROR(H24/I24*100,"-"))</f>
        <v>100</v>
      </c>
      <c r="H24" s="2">
        <f>IF('Ground-Truth'!C2&lt;&gt;"Ja","-",SUMIFS('Benchmark-Runs'!$P$2:$P$161,'Benchmark-Runs'!$C$2:$C$161,E24,'Benchmark-Runs'!$B$2:$B$161,F24))</f>
        <v>5</v>
      </c>
      <c r="I24" s="4">
        <f>IF('Ground-Truth'!C2&lt;&gt;"Ja","-",COUNTIFS('Benchmark-Runs'!$C$2:$C$161,E24,'Benchmark-Runs'!$B$2:$B$161,F24))</f>
        <v>5</v>
      </c>
    </row>
    <row r="25" spans="1:9" ht="30" x14ac:dyDescent="0.25">
      <c r="A25" s="3">
        <v>1</v>
      </c>
      <c r="B25" s="2" t="str">
        <f>'Ground-Truth'!B2</f>
        <v>Deckschicht</v>
      </c>
      <c r="C25" s="2" t="str">
        <f>IF('Ground-Truth'!C2="Ja","✓ Ausgewertet","⊘ Ausgeschlossen")</f>
        <v>✓ Ausgewertet</v>
      </c>
      <c r="D25" s="2">
        <f>'Ground-Truth'!D2</f>
        <v>864</v>
      </c>
      <c r="E25" s="2" t="s">
        <v>52</v>
      </c>
      <c r="F25" s="2" t="s">
        <v>58</v>
      </c>
      <c r="G25" s="2">
        <f>IF('Ground-Truth'!C2&lt;&gt;"Ja","-",IFERROR(H25/I25*100,"-"))</f>
        <v>100</v>
      </c>
      <c r="H25" s="2">
        <f>IF('Ground-Truth'!C2&lt;&gt;"Ja","-",SUMIFS('Benchmark-Runs'!$P$2:$P$161,'Benchmark-Runs'!$C$2:$C$161,E25,'Benchmark-Runs'!$B$2:$B$161,F25))</f>
        <v>5</v>
      </c>
      <c r="I25" s="4">
        <f>IF('Ground-Truth'!C2&lt;&gt;"Ja","-",COUNTIFS('Benchmark-Runs'!$C$2:$C$161,E25,'Benchmark-Runs'!$B$2:$B$161,F25))</f>
        <v>5</v>
      </c>
    </row>
    <row r="26" spans="1:9" x14ac:dyDescent="0.25">
      <c r="A26" s="3">
        <v>1</v>
      </c>
      <c r="B26" s="2" t="str">
        <f>'Ground-Truth'!B2</f>
        <v>Deckschicht</v>
      </c>
      <c r="C26" s="2" t="str">
        <f>IF('Ground-Truth'!C2="Ja","✓ Ausgewertet","⊘ Ausgeschlossen")</f>
        <v>✓ Ausgewertet</v>
      </c>
      <c r="D26" s="2">
        <f>'Ground-Truth'!D2</f>
        <v>864</v>
      </c>
      <c r="E26" s="2" t="s">
        <v>53</v>
      </c>
      <c r="F26" s="2" t="s">
        <v>41</v>
      </c>
      <c r="G26" s="2">
        <f>IF('Ground-Truth'!C2&lt;&gt;"Ja","-",IFERROR(H26/I26*100,"-"))</f>
        <v>0</v>
      </c>
      <c r="H26" s="2">
        <f>IF('Ground-Truth'!C2&lt;&gt;"Ja","-",SUMIFS('Benchmark-Runs'!$P$2:$P$161,'Benchmark-Runs'!$C$2:$C$161,E26,'Benchmark-Runs'!$B$2:$B$161,F26))</f>
        <v>0</v>
      </c>
      <c r="I26" s="4">
        <f>IF('Ground-Truth'!C2&lt;&gt;"Ja","-",COUNTIFS('Benchmark-Runs'!$C$2:$C$161,E26,'Benchmark-Runs'!$B$2:$B$161,F26))</f>
        <v>5</v>
      </c>
    </row>
    <row r="27" spans="1:9" x14ac:dyDescent="0.25">
      <c r="A27" s="3">
        <v>1</v>
      </c>
      <c r="B27" s="2" t="str">
        <f>'Ground-Truth'!B2</f>
        <v>Deckschicht</v>
      </c>
      <c r="C27" s="2" t="str">
        <f>IF('Ground-Truth'!C2="Ja","✓ Ausgewertet","⊘ Ausgeschlossen")</f>
        <v>✓ Ausgewertet</v>
      </c>
      <c r="D27" s="2">
        <f>'Ground-Truth'!D2</f>
        <v>864</v>
      </c>
      <c r="E27" s="2" t="s">
        <v>53</v>
      </c>
      <c r="F27" s="2" t="s">
        <v>44</v>
      </c>
      <c r="G27" s="2">
        <f>IF('Ground-Truth'!C2&lt;&gt;"Ja","-",IFERROR(H27/I27*100,"-"))</f>
        <v>80</v>
      </c>
      <c r="H27" s="2">
        <f>IF('Ground-Truth'!C2&lt;&gt;"Ja","-",SUMIFS('Benchmark-Runs'!$P$2:$P$161,'Benchmark-Runs'!$C$2:$C$161,E27,'Benchmark-Runs'!$B$2:$B$161,F27))</f>
        <v>4</v>
      </c>
      <c r="I27" s="4">
        <f>IF('Ground-Truth'!C2&lt;&gt;"Ja","-",COUNTIFS('Benchmark-Runs'!$C$2:$C$161,E27,'Benchmark-Runs'!$B$2:$B$161,F27))</f>
        <v>5</v>
      </c>
    </row>
    <row r="28" spans="1:9" x14ac:dyDescent="0.25">
      <c r="A28" s="3">
        <v>1</v>
      </c>
      <c r="B28" s="2" t="str">
        <f>'Ground-Truth'!B2</f>
        <v>Deckschicht</v>
      </c>
      <c r="C28" s="2" t="str">
        <f>IF('Ground-Truth'!C2="Ja","✓ Ausgewertet","⊘ Ausgeschlossen")</f>
        <v>✓ Ausgewertet</v>
      </c>
      <c r="D28" s="2">
        <f>'Ground-Truth'!D2</f>
        <v>864</v>
      </c>
      <c r="E28" s="2" t="s">
        <v>53</v>
      </c>
      <c r="F28" s="2" t="s">
        <v>46</v>
      </c>
      <c r="G28" s="2">
        <f>IF('Ground-Truth'!C2&lt;&gt;"Ja","-",IFERROR(H28/I28*100,"-"))</f>
        <v>0</v>
      </c>
      <c r="H28" s="2">
        <f>IF('Ground-Truth'!C2&lt;&gt;"Ja","-",SUMIFS('Benchmark-Runs'!$P$2:$P$161,'Benchmark-Runs'!$C$2:$C$161,E28,'Benchmark-Runs'!$B$2:$B$161,F28))</f>
        <v>0</v>
      </c>
      <c r="I28" s="4">
        <f>IF('Ground-Truth'!C2&lt;&gt;"Ja","-",COUNTIFS('Benchmark-Runs'!$C$2:$C$161,E28,'Benchmark-Runs'!$B$2:$B$161,F28))</f>
        <v>5</v>
      </c>
    </row>
    <row r="29" spans="1:9" x14ac:dyDescent="0.25">
      <c r="A29" s="3">
        <v>1</v>
      </c>
      <c r="B29" s="2" t="str">
        <f>'Ground-Truth'!B2</f>
        <v>Deckschicht</v>
      </c>
      <c r="C29" s="2" t="str">
        <f>IF('Ground-Truth'!C2="Ja","✓ Ausgewertet","⊘ Ausgeschlossen")</f>
        <v>✓ Ausgewertet</v>
      </c>
      <c r="D29" s="2">
        <f>'Ground-Truth'!D2</f>
        <v>864</v>
      </c>
      <c r="E29" s="2" t="s">
        <v>53</v>
      </c>
      <c r="F29" s="2" t="s">
        <v>47</v>
      </c>
      <c r="G29" s="2">
        <f>IF('Ground-Truth'!C2&lt;&gt;"Ja","-",IFERROR(H29/I29*100,"-"))</f>
        <v>100</v>
      </c>
      <c r="H29" s="2">
        <f>IF('Ground-Truth'!C2&lt;&gt;"Ja","-",SUMIFS('Benchmark-Runs'!$P$2:$P$161,'Benchmark-Runs'!$C$2:$C$161,E29,'Benchmark-Runs'!$B$2:$B$161,F29))</f>
        <v>5</v>
      </c>
      <c r="I29" s="4">
        <f>IF('Ground-Truth'!C2&lt;&gt;"Ja","-",COUNTIFS('Benchmark-Runs'!$C$2:$C$161,E29,'Benchmark-Runs'!$B$2:$B$161,F29))</f>
        <v>5</v>
      </c>
    </row>
    <row r="30" spans="1:9" x14ac:dyDescent="0.25">
      <c r="A30" s="3">
        <v>1</v>
      </c>
      <c r="B30" s="2" t="str">
        <f>'Ground-Truth'!B2</f>
        <v>Deckschicht</v>
      </c>
      <c r="C30" s="2" t="str">
        <f>IF('Ground-Truth'!C2="Ja","✓ Ausgewertet","⊘ Ausgeschlossen")</f>
        <v>✓ Ausgewertet</v>
      </c>
      <c r="D30" s="2">
        <f>'Ground-Truth'!D2</f>
        <v>864</v>
      </c>
      <c r="E30" s="2" t="s">
        <v>53</v>
      </c>
      <c r="F30" s="2" t="s">
        <v>48</v>
      </c>
      <c r="G30" s="2">
        <f>IF('Ground-Truth'!C2&lt;&gt;"Ja","-",IFERROR(H30/I30*100,"-"))</f>
        <v>0</v>
      </c>
      <c r="H30" s="2">
        <f>IF('Ground-Truth'!C2&lt;&gt;"Ja","-",SUMIFS('Benchmark-Runs'!$P$2:$P$161,'Benchmark-Runs'!$C$2:$C$161,E30,'Benchmark-Runs'!$B$2:$B$161,F30))</f>
        <v>0</v>
      </c>
      <c r="I30" s="4">
        <f>IF('Ground-Truth'!C2&lt;&gt;"Ja","-",COUNTIFS('Benchmark-Runs'!$C$2:$C$161,E30,'Benchmark-Runs'!$B$2:$B$161,F30))</f>
        <v>5</v>
      </c>
    </row>
    <row r="31" spans="1:9" x14ac:dyDescent="0.25">
      <c r="A31" s="3">
        <v>1</v>
      </c>
      <c r="B31" s="2" t="str">
        <f>'Ground-Truth'!B2</f>
        <v>Deckschicht</v>
      </c>
      <c r="C31" s="2" t="str">
        <f>IF('Ground-Truth'!C2="Ja","✓ Ausgewertet","⊘ Ausgeschlossen")</f>
        <v>✓ Ausgewertet</v>
      </c>
      <c r="D31" s="2">
        <f>'Ground-Truth'!D2</f>
        <v>864</v>
      </c>
      <c r="E31" s="2" t="s">
        <v>53</v>
      </c>
      <c r="F31" s="2" t="s">
        <v>56</v>
      </c>
      <c r="G31" s="2">
        <f>IF('Ground-Truth'!C2&lt;&gt;"Ja","-",IFERROR(H31/I31*100,"-"))</f>
        <v>100</v>
      </c>
      <c r="H31" s="2">
        <f>IF('Ground-Truth'!C2&lt;&gt;"Ja","-",SUMIFS('Benchmark-Runs'!$P$2:$P$161,'Benchmark-Runs'!$C$2:$C$161,E31,'Benchmark-Runs'!$B$2:$B$161,F31))</f>
        <v>5</v>
      </c>
      <c r="I31" s="4">
        <f>IF('Ground-Truth'!C2&lt;&gt;"Ja","-",COUNTIFS('Benchmark-Runs'!$C$2:$C$161,E31,'Benchmark-Runs'!$B$2:$B$161,F31))</f>
        <v>5</v>
      </c>
    </row>
    <row r="32" spans="1:9" x14ac:dyDescent="0.25">
      <c r="A32" s="3">
        <v>1</v>
      </c>
      <c r="B32" s="2" t="str">
        <f>'Ground-Truth'!B2</f>
        <v>Deckschicht</v>
      </c>
      <c r="C32" s="2" t="str">
        <f>IF('Ground-Truth'!C2="Ja","✓ Ausgewertet","⊘ Ausgeschlossen")</f>
        <v>✓ Ausgewertet</v>
      </c>
      <c r="D32" s="2">
        <f>'Ground-Truth'!D2</f>
        <v>864</v>
      </c>
      <c r="E32" s="2" t="s">
        <v>53</v>
      </c>
      <c r="F32" s="2" t="s">
        <v>57</v>
      </c>
      <c r="G32" s="2">
        <f>IF('Ground-Truth'!C2&lt;&gt;"Ja","-",IFERROR(H32/I32*100,"-"))</f>
        <v>100</v>
      </c>
      <c r="H32" s="2">
        <f>IF('Ground-Truth'!C2&lt;&gt;"Ja","-",SUMIFS('Benchmark-Runs'!$P$2:$P$161,'Benchmark-Runs'!$C$2:$C$161,E32,'Benchmark-Runs'!$B$2:$B$161,F32))</f>
        <v>5</v>
      </c>
      <c r="I32" s="4">
        <f>IF('Ground-Truth'!C2&lt;&gt;"Ja","-",COUNTIFS('Benchmark-Runs'!$C$2:$C$161,E32,'Benchmark-Runs'!$B$2:$B$161,F32))</f>
        <v>5</v>
      </c>
    </row>
    <row r="33" spans="1:9" ht="30" x14ac:dyDescent="0.25">
      <c r="A33" s="3">
        <v>1</v>
      </c>
      <c r="B33" s="2" t="str">
        <f>'Ground-Truth'!B2</f>
        <v>Deckschicht</v>
      </c>
      <c r="C33" s="2" t="str">
        <f>IF('Ground-Truth'!C2="Ja","✓ Ausgewertet","⊘ Ausgeschlossen")</f>
        <v>✓ Ausgewertet</v>
      </c>
      <c r="D33" s="2">
        <f>'Ground-Truth'!D2</f>
        <v>864</v>
      </c>
      <c r="E33" s="2" t="s">
        <v>53</v>
      </c>
      <c r="F33" s="2" t="s">
        <v>58</v>
      </c>
      <c r="G33" s="2">
        <f>IF('Ground-Truth'!C2&lt;&gt;"Ja","-",IFERROR(H33/I33*100,"-"))</f>
        <v>100</v>
      </c>
      <c r="H33" s="2">
        <f>IF('Ground-Truth'!C2&lt;&gt;"Ja","-",SUMIFS('Benchmark-Runs'!$P$2:$P$161,'Benchmark-Runs'!$C$2:$C$161,E33,'Benchmark-Runs'!$B$2:$B$161,F33))</f>
        <v>5</v>
      </c>
      <c r="I33" s="4">
        <f>IF('Ground-Truth'!C2&lt;&gt;"Ja","-",COUNTIFS('Benchmark-Runs'!$C$2:$C$161,E33,'Benchmark-Runs'!$B$2:$B$161,F33))</f>
        <v>5</v>
      </c>
    </row>
    <row r="34" spans="1:9" x14ac:dyDescent="0.25">
      <c r="A34" s="3">
        <v>2</v>
      </c>
      <c r="B34" s="2" t="str">
        <f>'Ground-Truth'!B3</f>
        <v>Binderschicht</v>
      </c>
      <c r="C34" s="2" t="str">
        <f>IF('Ground-Truth'!C3="Ja","✓ Ausgewertet","⊘ Ausgeschlossen")</f>
        <v>✓ Ausgewertet</v>
      </c>
      <c r="D34" s="2">
        <f>'Ground-Truth'!D3</f>
        <v>38</v>
      </c>
      <c r="E34" s="2" t="s">
        <v>42</v>
      </c>
      <c r="F34" s="2" t="s">
        <v>41</v>
      </c>
      <c r="G34" s="2">
        <f>IF('Ground-Truth'!C3&lt;&gt;"Ja","-",IFERROR(H34/I34*100,"-"))</f>
        <v>100</v>
      </c>
      <c r="H34" s="2">
        <f>IF('Ground-Truth'!C3&lt;&gt;"Ja","-",SUMIFS('Benchmark-Runs'!$Q$2:$Q$161,'Benchmark-Runs'!$C$2:$C$161,E34,'Benchmark-Runs'!$B$2:$B$161,F34))</f>
        <v>5</v>
      </c>
      <c r="I34" s="4">
        <f>IF('Ground-Truth'!C3&lt;&gt;"Ja","-",COUNTIFS('Benchmark-Runs'!$C$2:$C$161,E34,'Benchmark-Runs'!$B$2:$B$161,F34))</f>
        <v>5</v>
      </c>
    </row>
    <row r="35" spans="1:9" x14ac:dyDescent="0.25">
      <c r="A35" s="3">
        <v>2</v>
      </c>
      <c r="B35" s="2" t="str">
        <f>'Ground-Truth'!B3</f>
        <v>Binderschicht</v>
      </c>
      <c r="C35" s="2" t="str">
        <f>IF('Ground-Truth'!C3="Ja","✓ Ausgewertet","⊘ Ausgeschlossen")</f>
        <v>✓ Ausgewertet</v>
      </c>
      <c r="D35" s="2">
        <f>'Ground-Truth'!D3</f>
        <v>38</v>
      </c>
      <c r="E35" s="2" t="s">
        <v>42</v>
      </c>
      <c r="F35" s="2" t="s">
        <v>44</v>
      </c>
      <c r="G35" s="2">
        <f>IF('Ground-Truth'!C3&lt;&gt;"Ja","-",IFERROR(H35/I35*100,"-"))</f>
        <v>100</v>
      </c>
      <c r="H35" s="2">
        <f>IF('Ground-Truth'!C3&lt;&gt;"Ja","-",SUMIFS('Benchmark-Runs'!$Q$2:$Q$161,'Benchmark-Runs'!$C$2:$C$161,E35,'Benchmark-Runs'!$B$2:$B$161,F35))</f>
        <v>5</v>
      </c>
      <c r="I35" s="4">
        <f>IF('Ground-Truth'!C3&lt;&gt;"Ja","-",COUNTIFS('Benchmark-Runs'!$C$2:$C$161,E35,'Benchmark-Runs'!$B$2:$B$161,F35))</f>
        <v>5</v>
      </c>
    </row>
    <row r="36" spans="1:9" x14ac:dyDescent="0.25">
      <c r="A36" s="3">
        <v>2</v>
      </c>
      <c r="B36" s="2" t="str">
        <f>'Ground-Truth'!B3</f>
        <v>Binderschicht</v>
      </c>
      <c r="C36" s="2" t="str">
        <f>IF('Ground-Truth'!C3="Ja","✓ Ausgewertet","⊘ Ausgeschlossen")</f>
        <v>✓ Ausgewertet</v>
      </c>
      <c r="D36" s="2">
        <f>'Ground-Truth'!D3</f>
        <v>38</v>
      </c>
      <c r="E36" s="2" t="s">
        <v>42</v>
      </c>
      <c r="F36" s="2" t="s">
        <v>46</v>
      </c>
      <c r="G36" s="2">
        <f>IF('Ground-Truth'!C3&lt;&gt;"Ja","-",IFERROR(H36/I36*100,"-"))</f>
        <v>100</v>
      </c>
      <c r="H36" s="2">
        <f>IF('Ground-Truth'!C3&lt;&gt;"Ja","-",SUMIFS('Benchmark-Runs'!$Q$2:$Q$161,'Benchmark-Runs'!$C$2:$C$161,E36,'Benchmark-Runs'!$B$2:$B$161,F36))</f>
        <v>5</v>
      </c>
      <c r="I36" s="4">
        <f>IF('Ground-Truth'!C3&lt;&gt;"Ja","-",COUNTIFS('Benchmark-Runs'!$C$2:$C$161,E36,'Benchmark-Runs'!$B$2:$B$161,F36))</f>
        <v>5</v>
      </c>
    </row>
    <row r="37" spans="1:9" x14ac:dyDescent="0.25">
      <c r="A37" s="3">
        <v>2</v>
      </c>
      <c r="B37" s="2" t="str">
        <f>'Ground-Truth'!B3</f>
        <v>Binderschicht</v>
      </c>
      <c r="C37" s="2" t="str">
        <f>IF('Ground-Truth'!C3="Ja","✓ Ausgewertet","⊘ Ausgeschlossen")</f>
        <v>✓ Ausgewertet</v>
      </c>
      <c r="D37" s="2">
        <f>'Ground-Truth'!D3</f>
        <v>38</v>
      </c>
      <c r="E37" s="2" t="s">
        <v>42</v>
      </c>
      <c r="F37" s="2" t="s">
        <v>47</v>
      </c>
      <c r="G37" s="2">
        <f>IF('Ground-Truth'!C3&lt;&gt;"Ja","-",IFERROR(H37/I37*100,"-"))</f>
        <v>100</v>
      </c>
      <c r="H37" s="2">
        <f>IF('Ground-Truth'!C3&lt;&gt;"Ja","-",SUMIFS('Benchmark-Runs'!$Q$2:$Q$161,'Benchmark-Runs'!$C$2:$C$161,E37,'Benchmark-Runs'!$B$2:$B$161,F37))</f>
        <v>5</v>
      </c>
      <c r="I37" s="4">
        <f>IF('Ground-Truth'!C3&lt;&gt;"Ja","-",COUNTIFS('Benchmark-Runs'!$C$2:$C$161,E37,'Benchmark-Runs'!$B$2:$B$161,F37))</f>
        <v>5</v>
      </c>
    </row>
    <row r="38" spans="1:9" x14ac:dyDescent="0.25">
      <c r="A38" s="3">
        <v>2</v>
      </c>
      <c r="B38" s="2" t="str">
        <f>'Ground-Truth'!B3</f>
        <v>Binderschicht</v>
      </c>
      <c r="C38" s="2" t="str">
        <f>IF('Ground-Truth'!C3="Ja","✓ Ausgewertet","⊘ Ausgeschlossen")</f>
        <v>✓ Ausgewertet</v>
      </c>
      <c r="D38" s="2">
        <f>'Ground-Truth'!D3</f>
        <v>38</v>
      </c>
      <c r="E38" s="2" t="s">
        <v>42</v>
      </c>
      <c r="F38" s="2" t="s">
        <v>48</v>
      </c>
      <c r="G38" s="2">
        <f>IF('Ground-Truth'!C3&lt;&gt;"Ja","-",IFERROR(H38/I38*100,"-"))</f>
        <v>100</v>
      </c>
      <c r="H38" s="2">
        <f>IF('Ground-Truth'!C3&lt;&gt;"Ja","-",SUMIFS('Benchmark-Runs'!$Q$2:$Q$161,'Benchmark-Runs'!$C$2:$C$161,E38,'Benchmark-Runs'!$B$2:$B$161,F38))</f>
        <v>5</v>
      </c>
      <c r="I38" s="4">
        <f>IF('Ground-Truth'!C3&lt;&gt;"Ja","-",COUNTIFS('Benchmark-Runs'!$C$2:$C$161,E38,'Benchmark-Runs'!$B$2:$B$161,F38))</f>
        <v>5</v>
      </c>
    </row>
    <row r="39" spans="1:9" x14ac:dyDescent="0.25">
      <c r="A39" s="3">
        <v>2</v>
      </c>
      <c r="B39" s="2" t="str">
        <f>'Ground-Truth'!B3</f>
        <v>Binderschicht</v>
      </c>
      <c r="C39" s="2" t="str">
        <f>IF('Ground-Truth'!C3="Ja","✓ Ausgewertet","⊘ Ausgeschlossen")</f>
        <v>✓ Ausgewertet</v>
      </c>
      <c r="D39" s="2">
        <f>'Ground-Truth'!D3</f>
        <v>38</v>
      </c>
      <c r="E39" s="2" t="s">
        <v>42</v>
      </c>
      <c r="F39" s="2" t="s">
        <v>56</v>
      </c>
      <c r="G39" s="2">
        <f>IF('Ground-Truth'!C3&lt;&gt;"Ja","-",IFERROR(H39/I39*100,"-"))</f>
        <v>100</v>
      </c>
      <c r="H39" s="2">
        <f>IF('Ground-Truth'!C3&lt;&gt;"Ja","-",SUMIFS('Benchmark-Runs'!$Q$2:$Q$161,'Benchmark-Runs'!$C$2:$C$161,E39,'Benchmark-Runs'!$B$2:$B$161,F39))</f>
        <v>5</v>
      </c>
      <c r="I39" s="4">
        <f>IF('Ground-Truth'!C3&lt;&gt;"Ja","-",COUNTIFS('Benchmark-Runs'!$C$2:$C$161,E39,'Benchmark-Runs'!$B$2:$B$161,F39))</f>
        <v>5</v>
      </c>
    </row>
    <row r="40" spans="1:9" x14ac:dyDescent="0.25">
      <c r="A40" s="3">
        <v>2</v>
      </c>
      <c r="B40" s="2" t="str">
        <f>'Ground-Truth'!B3</f>
        <v>Binderschicht</v>
      </c>
      <c r="C40" s="2" t="str">
        <f>IF('Ground-Truth'!C3="Ja","✓ Ausgewertet","⊘ Ausgeschlossen")</f>
        <v>✓ Ausgewertet</v>
      </c>
      <c r="D40" s="2">
        <f>'Ground-Truth'!D3</f>
        <v>38</v>
      </c>
      <c r="E40" s="2" t="s">
        <v>42</v>
      </c>
      <c r="F40" s="2" t="s">
        <v>57</v>
      </c>
      <c r="G40" s="2">
        <f>IF('Ground-Truth'!C3&lt;&gt;"Ja","-",IFERROR(H40/I40*100,"-"))</f>
        <v>100</v>
      </c>
      <c r="H40" s="2">
        <f>IF('Ground-Truth'!C3&lt;&gt;"Ja","-",SUMIFS('Benchmark-Runs'!$Q$2:$Q$161,'Benchmark-Runs'!$C$2:$C$161,E40,'Benchmark-Runs'!$B$2:$B$161,F40))</f>
        <v>5</v>
      </c>
      <c r="I40" s="4">
        <f>IF('Ground-Truth'!C3&lt;&gt;"Ja","-",COUNTIFS('Benchmark-Runs'!$C$2:$C$161,E40,'Benchmark-Runs'!$B$2:$B$161,F40))</f>
        <v>5</v>
      </c>
    </row>
    <row r="41" spans="1:9" ht="30" x14ac:dyDescent="0.25">
      <c r="A41" s="3">
        <v>2</v>
      </c>
      <c r="B41" s="2" t="str">
        <f>'Ground-Truth'!B3</f>
        <v>Binderschicht</v>
      </c>
      <c r="C41" s="2" t="str">
        <f>IF('Ground-Truth'!C3="Ja","✓ Ausgewertet","⊘ Ausgeschlossen")</f>
        <v>✓ Ausgewertet</v>
      </c>
      <c r="D41" s="2">
        <f>'Ground-Truth'!D3</f>
        <v>38</v>
      </c>
      <c r="E41" s="2" t="s">
        <v>42</v>
      </c>
      <c r="F41" s="2" t="s">
        <v>58</v>
      </c>
      <c r="G41" s="2">
        <f>IF('Ground-Truth'!C3&lt;&gt;"Ja","-",IFERROR(H41/I41*100,"-"))</f>
        <v>100</v>
      </c>
      <c r="H41" s="2">
        <f>IF('Ground-Truth'!C3&lt;&gt;"Ja","-",SUMIFS('Benchmark-Runs'!$Q$2:$Q$161,'Benchmark-Runs'!$C$2:$C$161,E41,'Benchmark-Runs'!$B$2:$B$161,F41))</f>
        <v>5</v>
      </c>
      <c r="I41" s="4">
        <f>IF('Ground-Truth'!C3&lt;&gt;"Ja","-",COUNTIFS('Benchmark-Runs'!$C$2:$C$161,E41,'Benchmark-Runs'!$B$2:$B$161,F41))</f>
        <v>5</v>
      </c>
    </row>
    <row r="42" spans="1:9" x14ac:dyDescent="0.25">
      <c r="A42" s="3">
        <v>2</v>
      </c>
      <c r="B42" s="2" t="str">
        <f>'Ground-Truth'!B3</f>
        <v>Binderschicht</v>
      </c>
      <c r="C42" s="2" t="str">
        <f>IF('Ground-Truth'!C3="Ja","✓ Ausgewertet","⊘ Ausgeschlossen")</f>
        <v>✓ Ausgewertet</v>
      </c>
      <c r="D42" s="2">
        <f>'Ground-Truth'!D3</f>
        <v>38</v>
      </c>
      <c r="E42" s="2" t="s">
        <v>49</v>
      </c>
      <c r="F42" s="2" t="s">
        <v>41</v>
      </c>
      <c r="G42" s="2">
        <f>IF('Ground-Truth'!C3&lt;&gt;"Ja","-",IFERROR(H42/I42*100,"-"))</f>
        <v>100</v>
      </c>
      <c r="H42" s="2">
        <f>IF('Ground-Truth'!C3&lt;&gt;"Ja","-",SUMIFS('Benchmark-Runs'!$Q$2:$Q$161,'Benchmark-Runs'!$C$2:$C$161,E42,'Benchmark-Runs'!$B$2:$B$161,F42))</f>
        <v>5</v>
      </c>
      <c r="I42" s="4">
        <f>IF('Ground-Truth'!C3&lt;&gt;"Ja","-",COUNTIFS('Benchmark-Runs'!$C$2:$C$161,E42,'Benchmark-Runs'!$B$2:$B$161,F42))</f>
        <v>5</v>
      </c>
    </row>
    <row r="43" spans="1:9" x14ac:dyDescent="0.25">
      <c r="A43" s="3">
        <v>2</v>
      </c>
      <c r="B43" s="2" t="str">
        <f>'Ground-Truth'!B3</f>
        <v>Binderschicht</v>
      </c>
      <c r="C43" s="2" t="str">
        <f>IF('Ground-Truth'!C3="Ja","✓ Ausgewertet","⊘ Ausgeschlossen")</f>
        <v>✓ Ausgewertet</v>
      </c>
      <c r="D43" s="2">
        <f>'Ground-Truth'!D3</f>
        <v>38</v>
      </c>
      <c r="E43" s="2" t="s">
        <v>49</v>
      </c>
      <c r="F43" s="2" t="s">
        <v>44</v>
      </c>
      <c r="G43" s="2">
        <f>IF('Ground-Truth'!C3&lt;&gt;"Ja","-",IFERROR(H43/I43*100,"-"))</f>
        <v>100</v>
      </c>
      <c r="H43" s="2">
        <f>IF('Ground-Truth'!C3&lt;&gt;"Ja","-",SUMIFS('Benchmark-Runs'!$Q$2:$Q$161,'Benchmark-Runs'!$C$2:$C$161,E43,'Benchmark-Runs'!$B$2:$B$161,F43))</f>
        <v>5</v>
      </c>
      <c r="I43" s="4">
        <f>IF('Ground-Truth'!C3&lt;&gt;"Ja","-",COUNTIFS('Benchmark-Runs'!$C$2:$C$161,E43,'Benchmark-Runs'!$B$2:$B$161,F43))</f>
        <v>5</v>
      </c>
    </row>
    <row r="44" spans="1:9" x14ac:dyDescent="0.25">
      <c r="A44" s="3">
        <v>2</v>
      </c>
      <c r="B44" s="2" t="str">
        <f>'Ground-Truth'!B3</f>
        <v>Binderschicht</v>
      </c>
      <c r="C44" s="2" t="str">
        <f>IF('Ground-Truth'!C3="Ja","✓ Ausgewertet","⊘ Ausgeschlossen")</f>
        <v>✓ Ausgewertet</v>
      </c>
      <c r="D44" s="2">
        <f>'Ground-Truth'!D3</f>
        <v>38</v>
      </c>
      <c r="E44" s="2" t="s">
        <v>49</v>
      </c>
      <c r="F44" s="2" t="s">
        <v>46</v>
      </c>
      <c r="G44" s="2">
        <f>IF('Ground-Truth'!C3&lt;&gt;"Ja","-",IFERROR(H44/I44*100,"-"))</f>
        <v>100</v>
      </c>
      <c r="H44" s="2">
        <f>IF('Ground-Truth'!C3&lt;&gt;"Ja","-",SUMIFS('Benchmark-Runs'!$Q$2:$Q$161,'Benchmark-Runs'!$C$2:$C$161,E44,'Benchmark-Runs'!$B$2:$B$161,F44))</f>
        <v>5</v>
      </c>
      <c r="I44" s="4">
        <f>IF('Ground-Truth'!C3&lt;&gt;"Ja","-",COUNTIFS('Benchmark-Runs'!$C$2:$C$161,E44,'Benchmark-Runs'!$B$2:$B$161,F44))</f>
        <v>5</v>
      </c>
    </row>
    <row r="45" spans="1:9" x14ac:dyDescent="0.25">
      <c r="A45" s="3">
        <v>2</v>
      </c>
      <c r="B45" s="2" t="str">
        <f>'Ground-Truth'!B3</f>
        <v>Binderschicht</v>
      </c>
      <c r="C45" s="2" t="str">
        <f>IF('Ground-Truth'!C3="Ja","✓ Ausgewertet","⊘ Ausgeschlossen")</f>
        <v>✓ Ausgewertet</v>
      </c>
      <c r="D45" s="2">
        <f>'Ground-Truth'!D3</f>
        <v>38</v>
      </c>
      <c r="E45" s="2" t="s">
        <v>49</v>
      </c>
      <c r="F45" s="2" t="s">
        <v>47</v>
      </c>
      <c r="G45" s="2">
        <f>IF('Ground-Truth'!C3&lt;&gt;"Ja","-",IFERROR(H45/I45*100,"-"))</f>
        <v>100</v>
      </c>
      <c r="H45" s="2">
        <f>IF('Ground-Truth'!C3&lt;&gt;"Ja","-",SUMIFS('Benchmark-Runs'!$Q$2:$Q$161,'Benchmark-Runs'!$C$2:$C$161,E45,'Benchmark-Runs'!$B$2:$B$161,F45))</f>
        <v>5</v>
      </c>
      <c r="I45" s="4">
        <f>IF('Ground-Truth'!C3&lt;&gt;"Ja","-",COUNTIFS('Benchmark-Runs'!$C$2:$C$161,E45,'Benchmark-Runs'!$B$2:$B$161,F45))</f>
        <v>5</v>
      </c>
    </row>
    <row r="46" spans="1:9" x14ac:dyDescent="0.25">
      <c r="A46" s="3">
        <v>2</v>
      </c>
      <c r="B46" s="2" t="str">
        <f>'Ground-Truth'!B3</f>
        <v>Binderschicht</v>
      </c>
      <c r="C46" s="2" t="str">
        <f>IF('Ground-Truth'!C3="Ja","✓ Ausgewertet","⊘ Ausgeschlossen")</f>
        <v>✓ Ausgewertet</v>
      </c>
      <c r="D46" s="2">
        <f>'Ground-Truth'!D3</f>
        <v>38</v>
      </c>
      <c r="E46" s="2" t="s">
        <v>49</v>
      </c>
      <c r="F46" s="2" t="s">
        <v>48</v>
      </c>
      <c r="G46" s="2">
        <f>IF('Ground-Truth'!C3&lt;&gt;"Ja","-",IFERROR(H46/I46*100,"-"))</f>
        <v>100</v>
      </c>
      <c r="H46" s="2">
        <f>IF('Ground-Truth'!C3&lt;&gt;"Ja","-",SUMIFS('Benchmark-Runs'!$Q$2:$Q$161,'Benchmark-Runs'!$C$2:$C$161,E46,'Benchmark-Runs'!$B$2:$B$161,F46))</f>
        <v>5</v>
      </c>
      <c r="I46" s="4">
        <f>IF('Ground-Truth'!C3&lt;&gt;"Ja","-",COUNTIFS('Benchmark-Runs'!$C$2:$C$161,E46,'Benchmark-Runs'!$B$2:$B$161,F46))</f>
        <v>5</v>
      </c>
    </row>
    <row r="47" spans="1:9" x14ac:dyDescent="0.25">
      <c r="A47" s="3">
        <v>2</v>
      </c>
      <c r="B47" s="2" t="str">
        <f>'Ground-Truth'!B3</f>
        <v>Binderschicht</v>
      </c>
      <c r="C47" s="2" t="str">
        <f>IF('Ground-Truth'!C3="Ja","✓ Ausgewertet","⊘ Ausgeschlossen")</f>
        <v>✓ Ausgewertet</v>
      </c>
      <c r="D47" s="2">
        <f>'Ground-Truth'!D3</f>
        <v>38</v>
      </c>
      <c r="E47" s="2" t="s">
        <v>49</v>
      </c>
      <c r="F47" s="2" t="s">
        <v>56</v>
      </c>
      <c r="G47" s="2">
        <f>IF('Ground-Truth'!C3&lt;&gt;"Ja","-",IFERROR(H47/I47*100,"-"))</f>
        <v>100</v>
      </c>
      <c r="H47" s="2">
        <f>IF('Ground-Truth'!C3&lt;&gt;"Ja","-",SUMIFS('Benchmark-Runs'!$Q$2:$Q$161,'Benchmark-Runs'!$C$2:$C$161,E47,'Benchmark-Runs'!$B$2:$B$161,F47))</f>
        <v>5</v>
      </c>
      <c r="I47" s="4">
        <f>IF('Ground-Truth'!C3&lt;&gt;"Ja","-",COUNTIFS('Benchmark-Runs'!$C$2:$C$161,E47,'Benchmark-Runs'!$B$2:$B$161,F47))</f>
        <v>5</v>
      </c>
    </row>
    <row r="48" spans="1:9" x14ac:dyDescent="0.25">
      <c r="A48" s="3">
        <v>2</v>
      </c>
      <c r="B48" s="2" t="str">
        <f>'Ground-Truth'!B3</f>
        <v>Binderschicht</v>
      </c>
      <c r="C48" s="2" t="str">
        <f>IF('Ground-Truth'!C3="Ja","✓ Ausgewertet","⊘ Ausgeschlossen")</f>
        <v>✓ Ausgewertet</v>
      </c>
      <c r="D48" s="2">
        <f>'Ground-Truth'!D3</f>
        <v>38</v>
      </c>
      <c r="E48" s="2" t="s">
        <v>49</v>
      </c>
      <c r="F48" s="2" t="s">
        <v>57</v>
      </c>
      <c r="G48" s="2">
        <f>IF('Ground-Truth'!C3&lt;&gt;"Ja","-",IFERROR(H48/I48*100,"-"))</f>
        <v>100</v>
      </c>
      <c r="H48" s="2">
        <f>IF('Ground-Truth'!C3&lt;&gt;"Ja","-",SUMIFS('Benchmark-Runs'!$Q$2:$Q$161,'Benchmark-Runs'!$C$2:$C$161,E48,'Benchmark-Runs'!$B$2:$B$161,F48))</f>
        <v>5</v>
      </c>
      <c r="I48" s="4">
        <f>IF('Ground-Truth'!C3&lt;&gt;"Ja","-",COUNTIFS('Benchmark-Runs'!$C$2:$C$161,E48,'Benchmark-Runs'!$B$2:$B$161,F48))</f>
        <v>5</v>
      </c>
    </row>
    <row r="49" spans="1:9" ht="30" x14ac:dyDescent="0.25">
      <c r="A49" s="3">
        <v>2</v>
      </c>
      <c r="B49" s="2" t="str">
        <f>'Ground-Truth'!B3</f>
        <v>Binderschicht</v>
      </c>
      <c r="C49" s="2" t="str">
        <f>IF('Ground-Truth'!C3="Ja","✓ Ausgewertet","⊘ Ausgeschlossen")</f>
        <v>✓ Ausgewertet</v>
      </c>
      <c r="D49" s="2">
        <f>'Ground-Truth'!D3</f>
        <v>38</v>
      </c>
      <c r="E49" s="2" t="s">
        <v>49</v>
      </c>
      <c r="F49" s="2" t="s">
        <v>58</v>
      </c>
      <c r="G49" s="2">
        <f>IF('Ground-Truth'!C3&lt;&gt;"Ja","-",IFERROR(H49/I49*100,"-"))</f>
        <v>100</v>
      </c>
      <c r="H49" s="2">
        <f>IF('Ground-Truth'!C3&lt;&gt;"Ja","-",SUMIFS('Benchmark-Runs'!$Q$2:$Q$161,'Benchmark-Runs'!$C$2:$C$161,E49,'Benchmark-Runs'!$B$2:$B$161,F49))</f>
        <v>5</v>
      </c>
      <c r="I49" s="4">
        <f>IF('Ground-Truth'!C3&lt;&gt;"Ja","-",COUNTIFS('Benchmark-Runs'!$C$2:$C$161,E49,'Benchmark-Runs'!$B$2:$B$161,F49))</f>
        <v>5</v>
      </c>
    </row>
    <row r="50" spans="1:9" x14ac:dyDescent="0.25">
      <c r="A50" s="3">
        <v>2</v>
      </c>
      <c r="B50" s="2" t="str">
        <f>'Ground-Truth'!B3</f>
        <v>Binderschicht</v>
      </c>
      <c r="C50" s="2" t="str">
        <f>IF('Ground-Truth'!C3="Ja","✓ Ausgewertet","⊘ Ausgeschlossen")</f>
        <v>✓ Ausgewertet</v>
      </c>
      <c r="D50" s="2">
        <f>'Ground-Truth'!D3</f>
        <v>38</v>
      </c>
      <c r="E50" s="2" t="s">
        <v>52</v>
      </c>
      <c r="F50" s="2" t="s">
        <v>41</v>
      </c>
      <c r="G50" s="2">
        <f>IF('Ground-Truth'!C3&lt;&gt;"Ja","-",IFERROR(H50/I50*100,"-"))</f>
        <v>100</v>
      </c>
      <c r="H50" s="2">
        <f>IF('Ground-Truth'!C3&lt;&gt;"Ja","-",SUMIFS('Benchmark-Runs'!$Q$2:$Q$161,'Benchmark-Runs'!$C$2:$C$161,E50,'Benchmark-Runs'!$B$2:$B$161,F50))</f>
        <v>5</v>
      </c>
      <c r="I50" s="4">
        <f>IF('Ground-Truth'!C3&lt;&gt;"Ja","-",COUNTIFS('Benchmark-Runs'!$C$2:$C$161,E50,'Benchmark-Runs'!$B$2:$B$161,F50))</f>
        <v>5</v>
      </c>
    </row>
    <row r="51" spans="1:9" x14ac:dyDescent="0.25">
      <c r="A51" s="3">
        <v>2</v>
      </c>
      <c r="B51" s="2" t="str">
        <f>'Ground-Truth'!B3</f>
        <v>Binderschicht</v>
      </c>
      <c r="C51" s="2" t="str">
        <f>IF('Ground-Truth'!C3="Ja","✓ Ausgewertet","⊘ Ausgeschlossen")</f>
        <v>✓ Ausgewertet</v>
      </c>
      <c r="D51" s="2">
        <f>'Ground-Truth'!D3</f>
        <v>38</v>
      </c>
      <c r="E51" s="2" t="s">
        <v>52</v>
      </c>
      <c r="F51" s="2" t="s">
        <v>44</v>
      </c>
      <c r="G51" s="2">
        <f>IF('Ground-Truth'!C3&lt;&gt;"Ja","-",IFERROR(H51/I51*100,"-"))</f>
        <v>100</v>
      </c>
      <c r="H51" s="2">
        <f>IF('Ground-Truth'!C3&lt;&gt;"Ja","-",SUMIFS('Benchmark-Runs'!$Q$2:$Q$161,'Benchmark-Runs'!$C$2:$C$161,E51,'Benchmark-Runs'!$B$2:$B$161,F51))</f>
        <v>5</v>
      </c>
      <c r="I51" s="4">
        <f>IF('Ground-Truth'!C3&lt;&gt;"Ja","-",COUNTIFS('Benchmark-Runs'!$C$2:$C$161,E51,'Benchmark-Runs'!$B$2:$B$161,F51))</f>
        <v>5</v>
      </c>
    </row>
    <row r="52" spans="1:9" x14ac:dyDescent="0.25">
      <c r="A52" s="3">
        <v>2</v>
      </c>
      <c r="B52" s="2" t="str">
        <f>'Ground-Truth'!B3</f>
        <v>Binderschicht</v>
      </c>
      <c r="C52" s="2" t="str">
        <f>IF('Ground-Truth'!C3="Ja","✓ Ausgewertet","⊘ Ausgeschlossen")</f>
        <v>✓ Ausgewertet</v>
      </c>
      <c r="D52" s="2">
        <f>'Ground-Truth'!D3</f>
        <v>38</v>
      </c>
      <c r="E52" s="2" t="s">
        <v>52</v>
      </c>
      <c r="F52" s="2" t="s">
        <v>46</v>
      </c>
      <c r="G52" s="2">
        <f>IF('Ground-Truth'!C3&lt;&gt;"Ja","-",IFERROR(H52/I52*100,"-"))</f>
        <v>100</v>
      </c>
      <c r="H52" s="2">
        <f>IF('Ground-Truth'!C3&lt;&gt;"Ja","-",SUMIFS('Benchmark-Runs'!$Q$2:$Q$161,'Benchmark-Runs'!$C$2:$C$161,E52,'Benchmark-Runs'!$B$2:$B$161,F52))</f>
        <v>5</v>
      </c>
      <c r="I52" s="4">
        <f>IF('Ground-Truth'!C3&lt;&gt;"Ja","-",COUNTIFS('Benchmark-Runs'!$C$2:$C$161,E52,'Benchmark-Runs'!$B$2:$B$161,F52))</f>
        <v>5</v>
      </c>
    </row>
    <row r="53" spans="1:9" x14ac:dyDescent="0.25">
      <c r="A53" s="3">
        <v>2</v>
      </c>
      <c r="B53" s="2" t="str">
        <f>'Ground-Truth'!B3</f>
        <v>Binderschicht</v>
      </c>
      <c r="C53" s="2" t="str">
        <f>IF('Ground-Truth'!C3="Ja","✓ Ausgewertet","⊘ Ausgeschlossen")</f>
        <v>✓ Ausgewertet</v>
      </c>
      <c r="D53" s="2">
        <f>'Ground-Truth'!D3</f>
        <v>38</v>
      </c>
      <c r="E53" s="2" t="s">
        <v>52</v>
      </c>
      <c r="F53" s="2" t="s">
        <v>47</v>
      </c>
      <c r="G53" s="2">
        <f>IF('Ground-Truth'!C3&lt;&gt;"Ja","-",IFERROR(H53/I53*100,"-"))</f>
        <v>100</v>
      </c>
      <c r="H53" s="2">
        <f>IF('Ground-Truth'!C3&lt;&gt;"Ja","-",SUMIFS('Benchmark-Runs'!$Q$2:$Q$161,'Benchmark-Runs'!$C$2:$C$161,E53,'Benchmark-Runs'!$B$2:$B$161,F53))</f>
        <v>5</v>
      </c>
      <c r="I53" s="4">
        <f>IF('Ground-Truth'!C3&lt;&gt;"Ja","-",COUNTIFS('Benchmark-Runs'!$C$2:$C$161,E53,'Benchmark-Runs'!$B$2:$B$161,F53))</f>
        <v>5</v>
      </c>
    </row>
    <row r="54" spans="1:9" x14ac:dyDescent="0.25">
      <c r="A54" s="3">
        <v>2</v>
      </c>
      <c r="B54" s="2" t="str">
        <f>'Ground-Truth'!B3</f>
        <v>Binderschicht</v>
      </c>
      <c r="C54" s="2" t="str">
        <f>IF('Ground-Truth'!C3="Ja","✓ Ausgewertet","⊘ Ausgeschlossen")</f>
        <v>✓ Ausgewertet</v>
      </c>
      <c r="D54" s="2">
        <f>'Ground-Truth'!D3</f>
        <v>38</v>
      </c>
      <c r="E54" s="2" t="s">
        <v>52</v>
      </c>
      <c r="F54" s="2" t="s">
        <v>48</v>
      </c>
      <c r="G54" s="2">
        <f>IF('Ground-Truth'!C3&lt;&gt;"Ja","-",IFERROR(H54/I54*100,"-"))</f>
        <v>100</v>
      </c>
      <c r="H54" s="2">
        <f>IF('Ground-Truth'!C3&lt;&gt;"Ja","-",SUMIFS('Benchmark-Runs'!$Q$2:$Q$161,'Benchmark-Runs'!$C$2:$C$161,E54,'Benchmark-Runs'!$B$2:$B$161,F54))</f>
        <v>5</v>
      </c>
      <c r="I54" s="4">
        <f>IF('Ground-Truth'!C3&lt;&gt;"Ja","-",COUNTIFS('Benchmark-Runs'!$C$2:$C$161,E54,'Benchmark-Runs'!$B$2:$B$161,F54))</f>
        <v>5</v>
      </c>
    </row>
    <row r="55" spans="1:9" x14ac:dyDescent="0.25">
      <c r="A55" s="3">
        <v>2</v>
      </c>
      <c r="B55" s="2" t="str">
        <f>'Ground-Truth'!B3</f>
        <v>Binderschicht</v>
      </c>
      <c r="C55" s="2" t="str">
        <f>IF('Ground-Truth'!C3="Ja","✓ Ausgewertet","⊘ Ausgeschlossen")</f>
        <v>✓ Ausgewertet</v>
      </c>
      <c r="D55" s="2">
        <f>'Ground-Truth'!D3</f>
        <v>38</v>
      </c>
      <c r="E55" s="2" t="s">
        <v>52</v>
      </c>
      <c r="F55" s="2" t="s">
        <v>56</v>
      </c>
      <c r="G55" s="2">
        <f>IF('Ground-Truth'!C3&lt;&gt;"Ja","-",IFERROR(H55/I55*100,"-"))</f>
        <v>100</v>
      </c>
      <c r="H55" s="2">
        <f>IF('Ground-Truth'!C3&lt;&gt;"Ja","-",SUMIFS('Benchmark-Runs'!$Q$2:$Q$161,'Benchmark-Runs'!$C$2:$C$161,E55,'Benchmark-Runs'!$B$2:$B$161,F55))</f>
        <v>5</v>
      </c>
      <c r="I55" s="4">
        <f>IF('Ground-Truth'!C3&lt;&gt;"Ja","-",COUNTIFS('Benchmark-Runs'!$C$2:$C$161,E55,'Benchmark-Runs'!$B$2:$B$161,F55))</f>
        <v>5</v>
      </c>
    </row>
    <row r="56" spans="1:9" x14ac:dyDescent="0.25">
      <c r="A56" s="3">
        <v>2</v>
      </c>
      <c r="B56" s="2" t="str">
        <f>'Ground-Truth'!B3</f>
        <v>Binderschicht</v>
      </c>
      <c r="C56" s="2" t="str">
        <f>IF('Ground-Truth'!C3="Ja","✓ Ausgewertet","⊘ Ausgeschlossen")</f>
        <v>✓ Ausgewertet</v>
      </c>
      <c r="D56" s="2">
        <f>'Ground-Truth'!D3</f>
        <v>38</v>
      </c>
      <c r="E56" s="2" t="s">
        <v>52</v>
      </c>
      <c r="F56" s="2" t="s">
        <v>57</v>
      </c>
      <c r="G56" s="2">
        <f>IF('Ground-Truth'!C3&lt;&gt;"Ja","-",IFERROR(H56/I56*100,"-"))</f>
        <v>100</v>
      </c>
      <c r="H56" s="2">
        <f>IF('Ground-Truth'!C3&lt;&gt;"Ja","-",SUMIFS('Benchmark-Runs'!$Q$2:$Q$161,'Benchmark-Runs'!$C$2:$C$161,E56,'Benchmark-Runs'!$B$2:$B$161,F56))</f>
        <v>5</v>
      </c>
      <c r="I56" s="4">
        <f>IF('Ground-Truth'!C3&lt;&gt;"Ja","-",COUNTIFS('Benchmark-Runs'!$C$2:$C$161,E56,'Benchmark-Runs'!$B$2:$B$161,F56))</f>
        <v>5</v>
      </c>
    </row>
    <row r="57" spans="1:9" ht="30" x14ac:dyDescent="0.25">
      <c r="A57" s="3">
        <v>2</v>
      </c>
      <c r="B57" s="2" t="str">
        <f>'Ground-Truth'!B3</f>
        <v>Binderschicht</v>
      </c>
      <c r="C57" s="2" t="str">
        <f>IF('Ground-Truth'!C3="Ja","✓ Ausgewertet","⊘ Ausgeschlossen")</f>
        <v>✓ Ausgewertet</v>
      </c>
      <c r="D57" s="2">
        <f>'Ground-Truth'!D3</f>
        <v>38</v>
      </c>
      <c r="E57" s="2" t="s">
        <v>52</v>
      </c>
      <c r="F57" s="2" t="s">
        <v>58</v>
      </c>
      <c r="G57" s="2">
        <f>IF('Ground-Truth'!C3&lt;&gt;"Ja","-",IFERROR(H57/I57*100,"-"))</f>
        <v>100</v>
      </c>
      <c r="H57" s="2">
        <f>IF('Ground-Truth'!C3&lt;&gt;"Ja","-",SUMIFS('Benchmark-Runs'!$Q$2:$Q$161,'Benchmark-Runs'!$C$2:$C$161,E57,'Benchmark-Runs'!$B$2:$B$161,F57))</f>
        <v>5</v>
      </c>
      <c r="I57" s="4">
        <f>IF('Ground-Truth'!C3&lt;&gt;"Ja","-",COUNTIFS('Benchmark-Runs'!$C$2:$C$161,E57,'Benchmark-Runs'!$B$2:$B$161,F57))</f>
        <v>5</v>
      </c>
    </row>
    <row r="58" spans="1:9" x14ac:dyDescent="0.25">
      <c r="A58" s="3">
        <v>2</v>
      </c>
      <c r="B58" s="2" t="str">
        <f>'Ground-Truth'!B3</f>
        <v>Binderschicht</v>
      </c>
      <c r="C58" s="2" t="str">
        <f>IF('Ground-Truth'!C3="Ja","✓ Ausgewertet","⊘ Ausgeschlossen")</f>
        <v>✓ Ausgewertet</v>
      </c>
      <c r="D58" s="2">
        <f>'Ground-Truth'!D3</f>
        <v>38</v>
      </c>
      <c r="E58" s="2" t="s">
        <v>53</v>
      </c>
      <c r="F58" s="2" t="s">
        <v>41</v>
      </c>
      <c r="G58" s="2">
        <f>IF('Ground-Truth'!C3&lt;&gt;"Ja","-",IFERROR(H58/I58*100,"-"))</f>
        <v>100</v>
      </c>
      <c r="H58" s="2">
        <f>IF('Ground-Truth'!C3&lt;&gt;"Ja","-",SUMIFS('Benchmark-Runs'!$Q$2:$Q$161,'Benchmark-Runs'!$C$2:$C$161,E58,'Benchmark-Runs'!$B$2:$B$161,F58))</f>
        <v>5</v>
      </c>
      <c r="I58" s="4">
        <f>IF('Ground-Truth'!C3&lt;&gt;"Ja","-",COUNTIFS('Benchmark-Runs'!$C$2:$C$161,E58,'Benchmark-Runs'!$B$2:$B$161,F58))</f>
        <v>5</v>
      </c>
    </row>
    <row r="59" spans="1:9" x14ac:dyDescent="0.25">
      <c r="A59" s="3">
        <v>2</v>
      </c>
      <c r="B59" s="2" t="str">
        <f>'Ground-Truth'!B3</f>
        <v>Binderschicht</v>
      </c>
      <c r="C59" s="2" t="str">
        <f>IF('Ground-Truth'!C3="Ja","✓ Ausgewertet","⊘ Ausgeschlossen")</f>
        <v>✓ Ausgewertet</v>
      </c>
      <c r="D59" s="2">
        <f>'Ground-Truth'!D3</f>
        <v>38</v>
      </c>
      <c r="E59" s="2" t="s">
        <v>53</v>
      </c>
      <c r="F59" s="2" t="s">
        <v>44</v>
      </c>
      <c r="G59" s="2">
        <f>IF('Ground-Truth'!C3&lt;&gt;"Ja","-",IFERROR(H59/I59*100,"-"))</f>
        <v>100</v>
      </c>
      <c r="H59" s="2">
        <f>IF('Ground-Truth'!C3&lt;&gt;"Ja","-",SUMIFS('Benchmark-Runs'!$Q$2:$Q$161,'Benchmark-Runs'!$C$2:$C$161,E59,'Benchmark-Runs'!$B$2:$B$161,F59))</f>
        <v>5</v>
      </c>
      <c r="I59" s="4">
        <f>IF('Ground-Truth'!C3&lt;&gt;"Ja","-",COUNTIFS('Benchmark-Runs'!$C$2:$C$161,E59,'Benchmark-Runs'!$B$2:$B$161,F59))</f>
        <v>5</v>
      </c>
    </row>
    <row r="60" spans="1:9" x14ac:dyDescent="0.25">
      <c r="A60" s="3">
        <v>2</v>
      </c>
      <c r="B60" s="2" t="str">
        <f>'Ground-Truth'!B3</f>
        <v>Binderschicht</v>
      </c>
      <c r="C60" s="2" t="str">
        <f>IF('Ground-Truth'!C3="Ja","✓ Ausgewertet","⊘ Ausgeschlossen")</f>
        <v>✓ Ausgewertet</v>
      </c>
      <c r="D60" s="2">
        <f>'Ground-Truth'!D3</f>
        <v>38</v>
      </c>
      <c r="E60" s="2" t="s">
        <v>53</v>
      </c>
      <c r="F60" s="2" t="s">
        <v>46</v>
      </c>
      <c r="G60" s="2">
        <f>IF('Ground-Truth'!C3&lt;&gt;"Ja","-",IFERROR(H60/I60*100,"-"))</f>
        <v>100</v>
      </c>
      <c r="H60" s="2">
        <f>IF('Ground-Truth'!C3&lt;&gt;"Ja","-",SUMIFS('Benchmark-Runs'!$Q$2:$Q$161,'Benchmark-Runs'!$C$2:$C$161,E60,'Benchmark-Runs'!$B$2:$B$161,F60))</f>
        <v>5</v>
      </c>
      <c r="I60" s="4">
        <f>IF('Ground-Truth'!C3&lt;&gt;"Ja","-",COUNTIFS('Benchmark-Runs'!$C$2:$C$161,E60,'Benchmark-Runs'!$B$2:$B$161,F60))</f>
        <v>5</v>
      </c>
    </row>
    <row r="61" spans="1:9" x14ac:dyDescent="0.25">
      <c r="A61" s="3">
        <v>2</v>
      </c>
      <c r="B61" s="2" t="str">
        <f>'Ground-Truth'!B3</f>
        <v>Binderschicht</v>
      </c>
      <c r="C61" s="2" t="str">
        <f>IF('Ground-Truth'!C3="Ja","✓ Ausgewertet","⊘ Ausgeschlossen")</f>
        <v>✓ Ausgewertet</v>
      </c>
      <c r="D61" s="2">
        <f>'Ground-Truth'!D3</f>
        <v>38</v>
      </c>
      <c r="E61" s="2" t="s">
        <v>53</v>
      </c>
      <c r="F61" s="2" t="s">
        <v>47</v>
      </c>
      <c r="G61" s="2">
        <f>IF('Ground-Truth'!C3&lt;&gt;"Ja","-",IFERROR(H61/I61*100,"-"))</f>
        <v>100</v>
      </c>
      <c r="H61" s="2">
        <f>IF('Ground-Truth'!C3&lt;&gt;"Ja","-",SUMIFS('Benchmark-Runs'!$Q$2:$Q$161,'Benchmark-Runs'!$C$2:$C$161,E61,'Benchmark-Runs'!$B$2:$B$161,F61))</f>
        <v>5</v>
      </c>
      <c r="I61" s="4">
        <f>IF('Ground-Truth'!C3&lt;&gt;"Ja","-",COUNTIFS('Benchmark-Runs'!$C$2:$C$161,E61,'Benchmark-Runs'!$B$2:$B$161,F61))</f>
        <v>5</v>
      </c>
    </row>
    <row r="62" spans="1:9" x14ac:dyDescent="0.25">
      <c r="A62" s="3">
        <v>2</v>
      </c>
      <c r="B62" s="2" t="str">
        <f>'Ground-Truth'!B3</f>
        <v>Binderschicht</v>
      </c>
      <c r="C62" s="2" t="str">
        <f>IF('Ground-Truth'!C3="Ja","✓ Ausgewertet","⊘ Ausgeschlossen")</f>
        <v>✓ Ausgewertet</v>
      </c>
      <c r="D62" s="2">
        <f>'Ground-Truth'!D3</f>
        <v>38</v>
      </c>
      <c r="E62" s="2" t="s">
        <v>53</v>
      </c>
      <c r="F62" s="2" t="s">
        <v>48</v>
      </c>
      <c r="G62" s="2">
        <f>IF('Ground-Truth'!C3&lt;&gt;"Ja","-",IFERROR(H62/I62*100,"-"))</f>
        <v>80</v>
      </c>
      <c r="H62" s="2">
        <f>IF('Ground-Truth'!C3&lt;&gt;"Ja","-",SUMIFS('Benchmark-Runs'!$Q$2:$Q$161,'Benchmark-Runs'!$C$2:$C$161,E62,'Benchmark-Runs'!$B$2:$B$161,F62))</f>
        <v>4</v>
      </c>
      <c r="I62" s="4">
        <f>IF('Ground-Truth'!C3&lt;&gt;"Ja","-",COUNTIFS('Benchmark-Runs'!$C$2:$C$161,E62,'Benchmark-Runs'!$B$2:$B$161,F62))</f>
        <v>5</v>
      </c>
    </row>
    <row r="63" spans="1:9" x14ac:dyDescent="0.25">
      <c r="A63" s="3">
        <v>2</v>
      </c>
      <c r="B63" s="2" t="str">
        <f>'Ground-Truth'!B3</f>
        <v>Binderschicht</v>
      </c>
      <c r="C63" s="2" t="str">
        <f>IF('Ground-Truth'!C3="Ja","✓ Ausgewertet","⊘ Ausgeschlossen")</f>
        <v>✓ Ausgewertet</v>
      </c>
      <c r="D63" s="2">
        <f>'Ground-Truth'!D3</f>
        <v>38</v>
      </c>
      <c r="E63" s="2" t="s">
        <v>53</v>
      </c>
      <c r="F63" s="2" t="s">
        <v>56</v>
      </c>
      <c r="G63" s="2">
        <f>IF('Ground-Truth'!C3&lt;&gt;"Ja","-",IFERROR(H63/I63*100,"-"))</f>
        <v>100</v>
      </c>
      <c r="H63" s="2">
        <f>IF('Ground-Truth'!C3&lt;&gt;"Ja","-",SUMIFS('Benchmark-Runs'!$Q$2:$Q$161,'Benchmark-Runs'!$C$2:$C$161,E63,'Benchmark-Runs'!$B$2:$B$161,F63))</f>
        <v>5</v>
      </c>
      <c r="I63" s="4">
        <f>IF('Ground-Truth'!C3&lt;&gt;"Ja","-",COUNTIFS('Benchmark-Runs'!$C$2:$C$161,E63,'Benchmark-Runs'!$B$2:$B$161,F63))</f>
        <v>5</v>
      </c>
    </row>
    <row r="64" spans="1:9" x14ac:dyDescent="0.25">
      <c r="A64" s="3">
        <v>2</v>
      </c>
      <c r="B64" s="2" t="str">
        <f>'Ground-Truth'!B3</f>
        <v>Binderschicht</v>
      </c>
      <c r="C64" s="2" t="str">
        <f>IF('Ground-Truth'!C3="Ja","✓ Ausgewertet","⊘ Ausgeschlossen")</f>
        <v>✓ Ausgewertet</v>
      </c>
      <c r="D64" s="2">
        <f>'Ground-Truth'!D3</f>
        <v>38</v>
      </c>
      <c r="E64" s="2" t="s">
        <v>53</v>
      </c>
      <c r="F64" s="2" t="s">
        <v>57</v>
      </c>
      <c r="G64" s="2">
        <f>IF('Ground-Truth'!C3&lt;&gt;"Ja","-",IFERROR(H64/I64*100,"-"))</f>
        <v>100</v>
      </c>
      <c r="H64" s="2">
        <f>IF('Ground-Truth'!C3&lt;&gt;"Ja","-",SUMIFS('Benchmark-Runs'!$Q$2:$Q$161,'Benchmark-Runs'!$C$2:$C$161,E64,'Benchmark-Runs'!$B$2:$B$161,F64))</f>
        <v>5</v>
      </c>
      <c r="I64" s="4">
        <f>IF('Ground-Truth'!C3&lt;&gt;"Ja","-",COUNTIFS('Benchmark-Runs'!$C$2:$C$161,E64,'Benchmark-Runs'!$B$2:$B$161,F64))</f>
        <v>5</v>
      </c>
    </row>
    <row r="65" spans="1:9" ht="30" x14ac:dyDescent="0.25">
      <c r="A65" s="3">
        <v>2</v>
      </c>
      <c r="B65" s="2" t="str">
        <f>'Ground-Truth'!B3</f>
        <v>Binderschicht</v>
      </c>
      <c r="C65" s="2" t="str">
        <f>IF('Ground-Truth'!C3="Ja","✓ Ausgewertet","⊘ Ausgeschlossen")</f>
        <v>✓ Ausgewertet</v>
      </c>
      <c r="D65" s="2">
        <f>'Ground-Truth'!D3</f>
        <v>38</v>
      </c>
      <c r="E65" s="2" t="s">
        <v>53</v>
      </c>
      <c r="F65" s="2" t="s">
        <v>58</v>
      </c>
      <c r="G65" s="2">
        <f>IF('Ground-Truth'!C3&lt;&gt;"Ja","-",IFERROR(H65/I65*100,"-"))</f>
        <v>80</v>
      </c>
      <c r="H65" s="2">
        <f>IF('Ground-Truth'!C3&lt;&gt;"Ja","-",SUMIFS('Benchmark-Runs'!$Q$2:$Q$161,'Benchmark-Runs'!$C$2:$C$161,E65,'Benchmark-Runs'!$B$2:$B$161,F65))</f>
        <v>4</v>
      </c>
      <c r="I65" s="4">
        <f>IF('Ground-Truth'!C3&lt;&gt;"Ja","-",COUNTIFS('Benchmark-Runs'!$C$2:$C$161,E65,'Benchmark-Runs'!$B$2:$B$161,F65))</f>
        <v>5</v>
      </c>
    </row>
    <row r="66" spans="1:9" x14ac:dyDescent="0.25">
      <c r="A66" s="3">
        <v>3</v>
      </c>
      <c r="B66" s="2" t="str">
        <f>'Ground-Truth'!B4</f>
        <v>Tragschicht</v>
      </c>
      <c r="C66" s="2" t="str">
        <f>IF('Ground-Truth'!C4="Ja","✓ Ausgewertet","⊘ Ausgeschlossen")</f>
        <v>✓ Ausgewertet</v>
      </c>
      <c r="D66" s="2">
        <f>'Ground-Truth'!D4</f>
        <v>39</v>
      </c>
      <c r="E66" s="2" t="s">
        <v>42</v>
      </c>
      <c r="F66" s="2" t="s">
        <v>41</v>
      </c>
      <c r="G66" s="2">
        <f>IF('Ground-Truth'!C4&lt;&gt;"Ja","-",IFERROR(H66/I66*100,"-"))</f>
        <v>100</v>
      </c>
      <c r="H66" s="2">
        <f>IF('Ground-Truth'!C4&lt;&gt;"Ja","-",SUMIFS('Benchmark-Runs'!$R$2:$R$161,'Benchmark-Runs'!$C$2:$C$161,E66,'Benchmark-Runs'!$B$2:$B$161,F66))</f>
        <v>5</v>
      </c>
      <c r="I66" s="4">
        <f>IF('Ground-Truth'!C4&lt;&gt;"Ja","-",COUNTIFS('Benchmark-Runs'!$C$2:$C$161,E66,'Benchmark-Runs'!$B$2:$B$161,F66))</f>
        <v>5</v>
      </c>
    </row>
    <row r="67" spans="1:9" x14ac:dyDescent="0.25">
      <c r="A67" s="3">
        <v>3</v>
      </c>
      <c r="B67" s="2" t="str">
        <f>'Ground-Truth'!B4</f>
        <v>Tragschicht</v>
      </c>
      <c r="C67" s="2" t="str">
        <f>IF('Ground-Truth'!C4="Ja","✓ Ausgewertet","⊘ Ausgeschlossen")</f>
        <v>✓ Ausgewertet</v>
      </c>
      <c r="D67" s="2">
        <f>'Ground-Truth'!D4</f>
        <v>39</v>
      </c>
      <c r="E67" s="2" t="s">
        <v>42</v>
      </c>
      <c r="F67" s="2" t="s">
        <v>44</v>
      </c>
      <c r="G67" s="2">
        <f>IF('Ground-Truth'!C4&lt;&gt;"Ja","-",IFERROR(H67/I67*100,"-"))</f>
        <v>100</v>
      </c>
      <c r="H67" s="2">
        <f>IF('Ground-Truth'!C4&lt;&gt;"Ja","-",SUMIFS('Benchmark-Runs'!$R$2:$R$161,'Benchmark-Runs'!$C$2:$C$161,E67,'Benchmark-Runs'!$B$2:$B$161,F67))</f>
        <v>5</v>
      </c>
      <c r="I67" s="4">
        <f>IF('Ground-Truth'!C4&lt;&gt;"Ja","-",COUNTIFS('Benchmark-Runs'!$C$2:$C$161,E67,'Benchmark-Runs'!$B$2:$B$161,F67))</f>
        <v>5</v>
      </c>
    </row>
    <row r="68" spans="1:9" x14ac:dyDescent="0.25">
      <c r="A68" s="3">
        <v>3</v>
      </c>
      <c r="B68" s="2" t="str">
        <f>'Ground-Truth'!B4</f>
        <v>Tragschicht</v>
      </c>
      <c r="C68" s="2" t="str">
        <f>IF('Ground-Truth'!C4="Ja","✓ Ausgewertet","⊘ Ausgeschlossen")</f>
        <v>✓ Ausgewertet</v>
      </c>
      <c r="D68" s="2">
        <f>'Ground-Truth'!D4</f>
        <v>39</v>
      </c>
      <c r="E68" s="2" t="s">
        <v>42</v>
      </c>
      <c r="F68" s="2" t="s">
        <v>46</v>
      </c>
      <c r="G68" s="2">
        <f>IF('Ground-Truth'!C4&lt;&gt;"Ja","-",IFERROR(H68/I68*100,"-"))</f>
        <v>100</v>
      </c>
      <c r="H68" s="2">
        <f>IF('Ground-Truth'!C4&lt;&gt;"Ja","-",SUMIFS('Benchmark-Runs'!$R$2:$R$161,'Benchmark-Runs'!$C$2:$C$161,E68,'Benchmark-Runs'!$B$2:$B$161,F68))</f>
        <v>5</v>
      </c>
      <c r="I68" s="4">
        <f>IF('Ground-Truth'!C4&lt;&gt;"Ja","-",COUNTIFS('Benchmark-Runs'!$C$2:$C$161,E68,'Benchmark-Runs'!$B$2:$B$161,F68))</f>
        <v>5</v>
      </c>
    </row>
    <row r="69" spans="1:9" x14ac:dyDescent="0.25">
      <c r="A69" s="3">
        <v>3</v>
      </c>
      <c r="B69" s="2" t="str">
        <f>'Ground-Truth'!B4</f>
        <v>Tragschicht</v>
      </c>
      <c r="C69" s="2" t="str">
        <f>IF('Ground-Truth'!C4="Ja","✓ Ausgewertet","⊘ Ausgeschlossen")</f>
        <v>✓ Ausgewertet</v>
      </c>
      <c r="D69" s="2">
        <f>'Ground-Truth'!D4</f>
        <v>39</v>
      </c>
      <c r="E69" s="2" t="s">
        <v>42</v>
      </c>
      <c r="F69" s="2" t="s">
        <v>47</v>
      </c>
      <c r="G69" s="2">
        <f>IF('Ground-Truth'!C4&lt;&gt;"Ja","-",IFERROR(H69/I69*100,"-"))</f>
        <v>100</v>
      </c>
      <c r="H69" s="2">
        <f>IF('Ground-Truth'!C4&lt;&gt;"Ja","-",SUMIFS('Benchmark-Runs'!$R$2:$R$161,'Benchmark-Runs'!$C$2:$C$161,E69,'Benchmark-Runs'!$B$2:$B$161,F69))</f>
        <v>5</v>
      </c>
      <c r="I69" s="4">
        <f>IF('Ground-Truth'!C4&lt;&gt;"Ja","-",COUNTIFS('Benchmark-Runs'!$C$2:$C$161,E69,'Benchmark-Runs'!$B$2:$B$161,F69))</f>
        <v>5</v>
      </c>
    </row>
    <row r="70" spans="1:9" x14ac:dyDescent="0.25">
      <c r="A70" s="3">
        <v>3</v>
      </c>
      <c r="B70" s="2" t="str">
        <f>'Ground-Truth'!B4</f>
        <v>Tragschicht</v>
      </c>
      <c r="C70" s="2" t="str">
        <f>IF('Ground-Truth'!C4="Ja","✓ Ausgewertet","⊘ Ausgeschlossen")</f>
        <v>✓ Ausgewertet</v>
      </c>
      <c r="D70" s="2">
        <f>'Ground-Truth'!D4</f>
        <v>39</v>
      </c>
      <c r="E70" s="2" t="s">
        <v>42</v>
      </c>
      <c r="F70" s="2" t="s">
        <v>48</v>
      </c>
      <c r="G70" s="2">
        <f>IF('Ground-Truth'!C4&lt;&gt;"Ja","-",IFERROR(H70/I70*100,"-"))</f>
        <v>100</v>
      </c>
      <c r="H70" s="2">
        <f>IF('Ground-Truth'!C4&lt;&gt;"Ja","-",SUMIFS('Benchmark-Runs'!$R$2:$R$161,'Benchmark-Runs'!$C$2:$C$161,E70,'Benchmark-Runs'!$B$2:$B$161,F70))</f>
        <v>5</v>
      </c>
      <c r="I70" s="4">
        <f>IF('Ground-Truth'!C4&lt;&gt;"Ja","-",COUNTIFS('Benchmark-Runs'!$C$2:$C$161,E70,'Benchmark-Runs'!$B$2:$B$161,F70))</f>
        <v>5</v>
      </c>
    </row>
    <row r="71" spans="1:9" x14ac:dyDescent="0.25">
      <c r="A71" s="3">
        <v>3</v>
      </c>
      <c r="B71" s="2" t="str">
        <f>'Ground-Truth'!B4</f>
        <v>Tragschicht</v>
      </c>
      <c r="C71" s="2" t="str">
        <f>IF('Ground-Truth'!C4="Ja","✓ Ausgewertet","⊘ Ausgeschlossen")</f>
        <v>✓ Ausgewertet</v>
      </c>
      <c r="D71" s="2">
        <f>'Ground-Truth'!D4</f>
        <v>39</v>
      </c>
      <c r="E71" s="2" t="s">
        <v>42</v>
      </c>
      <c r="F71" s="2" t="s">
        <v>56</v>
      </c>
      <c r="G71" s="2">
        <f>IF('Ground-Truth'!C4&lt;&gt;"Ja","-",IFERROR(H71/I71*100,"-"))</f>
        <v>100</v>
      </c>
      <c r="H71" s="2">
        <f>IF('Ground-Truth'!C4&lt;&gt;"Ja","-",SUMIFS('Benchmark-Runs'!$R$2:$R$161,'Benchmark-Runs'!$C$2:$C$161,E71,'Benchmark-Runs'!$B$2:$B$161,F71))</f>
        <v>5</v>
      </c>
      <c r="I71" s="4">
        <f>IF('Ground-Truth'!C4&lt;&gt;"Ja","-",COUNTIFS('Benchmark-Runs'!$C$2:$C$161,E71,'Benchmark-Runs'!$B$2:$B$161,F71))</f>
        <v>5</v>
      </c>
    </row>
    <row r="72" spans="1:9" x14ac:dyDescent="0.25">
      <c r="A72" s="3">
        <v>3</v>
      </c>
      <c r="B72" s="2" t="str">
        <f>'Ground-Truth'!B4</f>
        <v>Tragschicht</v>
      </c>
      <c r="C72" s="2" t="str">
        <f>IF('Ground-Truth'!C4="Ja","✓ Ausgewertet","⊘ Ausgeschlossen")</f>
        <v>✓ Ausgewertet</v>
      </c>
      <c r="D72" s="2">
        <f>'Ground-Truth'!D4</f>
        <v>39</v>
      </c>
      <c r="E72" s="2" t="s">
        <v>42</v>
      </c>
      <c r="F72" s="2" t="s">
        <v>57</v>
      </c>
      <c r="G72" s="2">
        <f>IF('Ground-Truth'!C4&lt;&gt;"Ja","-",IFERROR(H72/I72*100,"-"))</f>
        <v>100</v>
      </c>
      <c r="H72" s="2">
        <f>IF('Ground-Truth'!C4&lt;&gt;"Ja","-",SUMIFS('Benchmark-Runs'!$R$2:$R$161,'Benchmark-Runs'!$C$2:$C$161,E72,'Benchmark-Runs'!$B$2:$B$161,F72))</f>
        <v>5</v>
      </c>
      <c r="I72" s="4">
        <f>IF('Ground-Truth'!C4&lt;&gt;"Ja","-",COUNTIFS('Benchmark-Runs'!$C$2:$C$161,E72,'Benchmark-Runs'!$B$2:$B$161,F72))</f>
        <v>5</v>
      </c>
    </row>
    <row r="73" spans="1:9" ht="30" x14ac:dyDescent="0.25">
      <c r="A73" s="3">
        <v>3</v>
      </c>
      <c r="B73" s="2" t="str">
        <f>'Ground-Truth'!B4</f>
        <v>Tragschicht</v>
      </c>
      <c r="C73" s="2" t="str">
        <f>IF('Ground-Truth'!C4="Ja","✓ Ausgewertet","⊘ Ausgeschlossen")</f>
        <v>✓ Ausgewertet</v>
      </c>
      <c r="D73" s="2">
        <f>'Ground-Truth'!D4</f>
        <v>39</v>
      </c>
      <c r="E73" s="2" t="s">
        <v>42</v>
      </c>
      <c r="F73" s="2" t="s">
        <v>58</v>
      </c>
      <c r="G73" s="2">
        <f>IF('Ground-Truth'!C4&lt;&gt;"Ja","-",IFERROR(H73/I73*100,"-"))</f>
        <v>100</v>
      </c>
      <c r="H73" s="2">
        <f>IF('Ground-Truth'!C4&lt;&gt;"Ja","-",SUMIFS('Benchmark-Runs'!$R$2:$R$161,'Benchmark-Runs'!$C$2:$C$161,E73,'Benchmark-Runs'!$B$2:$B$161,F73))</f>
        <v>5</v>
      </c>
      <c r="I73" s="4">
        <f>IF('Ground-Truth'!C4&lt;&gt;"Ja","-",COUNTIFS('Benchmark-Runs'!$C$2:$C$161,E73,'Benchmark-Runs'!$B$2:$B$161,F73))</f>
        <v>5</v>
      </c>
    </row>
    <row r="74" spans="1:9" x14ac:dyDescent="0.25">
      <c r="A74" s="3">
        <v>3</v>
      </c>
      <c r="B74" s="2" t="str">
        <f>'Ground-Truth'!B4</f>
        <v>Tragschicht</v>
      </c>
      <c r="C74" s="2" t="str">
        <f>IF('Ground-Truth'!C4="Ja","✓ Ausgewertet","⊘ Ausgeschlossen")</f>
        <v>✓ Ausgewertet</v>
      </c>
      <c r="D74" s="2">
        <f>'Ground-Truth'!D4</f>
        <v>39</v>
      </c>
      <c r="E74" s="2" t="s">
        <v>49</v>
      </c>
      <c r="F74" s="2" t="s">
        <v>41</v>
      </c>
      <c r="G74" s="2">
        <f>IF('Ground-Truth'!C4&lt;&gt;"Ja","-",IFERROR(H74/I74*100,"-"))</f>
        <v>60</v>
      </c>
      <c r="H74" s="2">
        <f>IF('Ground-Truth'!C4&lt;&gt;"Ja","-",SUMIFS('Benchmark-Runs'!$R$2:$R$161,'Benchmark-Runs'!$C$2:$C$161,E74,'Benchmark-Runs'!$B$2:$B$161,F74))</f>
        <v>3</v>
      </c>
      <c r="I74" s="4">
        <f>IF('Ground-Truth'!C4&lt;&gt;"Ja","-",COUNTIFS('Benchmark-Runs'!$C$2:$C$161,E74,'Benchmark-Runs'!$B$2:$B$161,F74))</f>
        <v>5</v>
      </c>
    </row>
    <row r="75" spans="1:9" x14ac:dyDescent="0.25">
      <c r="A75" s="3">
        <v>3</v>
      </c>
      <c r="B75" s="2" t="str">
        <f>'Ground-Truth'!B4</f>
        <v>Tragschicht</v>
      </c>
      <c r="C75" s="2" t="str">
        <f>IF('Ground-Truth'!C4="Ja","✓ Ausgewertet","⊘ Ausgeschlossen")</f>
        <v>✓ Ausgewertet</v>
      </c>
      <c r="D75" s="2">
        <f>'Ground-Truth'!D4</f>
        <v>39</v>
      </c>
      <c r="E75" s="2" t="s">
        <v>49</v>
      </c>
      <c r="F75" s="2" t="s">
        <v>44</v>
      </c>
      <c r="G75" s="2">
        <f>IF('Ground-Truth'!C4&lt;&gt;"Ja","-",IFERROR(H75/I75*100,"-"))</f>
        <v>100</v>
      </c>
      <c r="H75" s="2">
        <f>IF('Ground-Truth'!C4&lt;&gt;"Ja","-",SUMIFS('Benchmark-Runs'!$R$2:$R$161,'Benchmark-Runs'!$C$2:$C$161,E75,'Benchmark-Runs'!$B$2:$B$161,F75))</f>
        <v>5</v>
      </c>
      <c r="I75" s="4">
        <f>IF('Ground-Truth'!C4&lt;&gt;"Ja","-",COUNTIFS('Benchmark-Runs'!$C$2:$C$161,E75,'Benchmark-Runs'!$B$2:$B$161,F75))</f>
        <v>5</v>
      </c>
    </row>
    <row r="76" spans="1:9" x14ac:dyDescent="0.25">
      <c r="A76" s="3">
        <v>3</v>
      </c>
      <c r="B76" s="2" t="str">
        <f>'Ground-Truth'!B4</f>
        <v>Tragschicht</v>
      </c>
      <c r="C76" s="2" t="str">
        <f>IF('Ground-Truth'!C4="Ja","✓ Ausgewertet","⊘ Ausgeschlossen")</f>
        <v>✓ Ausgewertet</v>
      </c>
      <c r="D76" s="2">
        <f>'Ground-Truth'!D4</f>
        <v>39</v>
      </c>
      <c r="E76" s="2" t="s">
        <v>49</v>
      </c>
      <c r="F76" s="2" t="s">
        <v>46</v>
      </c>
      <c r="G76" s="2">
        <f>IF('Ground-Truth'!C4&lt;&gt;"Ja","-",IFERROR(H76/I76*100,"-"))</f>
        <v>80</v>
      </c>
      <c r="H76" s="2">
        <f>IF('Ground-Truth'!C4&lt;&gt;"Ja","-",SUMIFS('Benchmark-Runs'!$R$2:$R$161,'Benchmark-Runs'!$C$2:$C$161,E76,'Benchmark-Runs'!$B$2:$B$161,F76))</f>
        <v>4</v>
      </c>
      <c r="I76" s="4">
        <f>IF('Ground-Truth'!C4&lt;&gt;"Ja","-",COUNTIFS('Benchmark-Runs'!$C$2:$C$161,E76,'Benchmark-Runs'!$B$2:$B$161,F76))</f>
        <v>5</v>
      </c>
    </row>
    <row r="77" spans="1:9" x14ac:dyDescent="0.25">
      <c r="A77" s="3">
        <v>3</v>
      </c>
      <c r="B77" s="2" t="str">
        <f>'Ground-Truth'!B4</f>
        <v>Tragschicht</v>
      </c>
      <c r="C77" s="2" t="str">
        <f>IF('Ground-Truth'!C4="Ja","✓ Ausgewertet","⊘ Ausgeschlossen")</f>
        <v>✓ Ausgewertet</v>
      </c>
      <c r="D77" s="2">
        <f>'Ground-Truth'!D4</f>
        <v>39</v>
      </c>
      <c r="E77" s="2" t="s">
        <v>49</v>
      </c>
      <c r="F77" s="2" t="s">
        <v>47</v>
      </c>
      <c r="G77" s="2">
        <f>IF('Ground-Truth'!C4&lt;&gt;"Ja","-",IFERROR(H77/I77*100,"-"))</f>
        <v>100</v>
      </c>
      <c r="H77" s="2">
        <f>IF('Ground-Truth'!C4&lt;&gt;"Ja","-",SUMIFS('Benchmark-Runs'!$R$2:$R$161,'Benchmark-Runs'!$C$2:$C$161,E77,'Benchmark-Runs'!$B$2:$B$161,F77))</f>
        <v>5</v>
      </c>
      <c r="I77" s="4">
        <f>IF('Ground-Truth'!C4&lt;&gt;"Ja","-",COUNTIFS('Benchmark-Runs'!$C$2:$C$161,E77,'Benchmark-Runs'!$B$2:$B$161,F77))</f>
        <v>5</v>
      </c>
    </row>
    <row r="78" spans="1:9" x14ac:dyDescent="0.25">
      <c r="A78" s="3">
        <v>3</v>
      </c>
      <c r="B78" s="2" t="str">
        <f>'Ground-Truth'!B4</f>
        <v>Tragschicht</v>
      </c>
      <c r="C78" s="2" t="str">
        <f>IF('Ground-Truth'!C4="Ja","✓ Ausgewertet","⊘ Ausgeschlossen")</f>
        <v>✓ Ausgewertet</v>
      </c>
      <c r="D78" s="2">
        <f>'Ground-Truth'!D4</f>
        <v>39</v>
      </c>
      <c r="E78" s="2" t="s">
        <v>49</v>
      </c>
      <c r="F78" s="2" t="s">
        <v>48</v>
      </c>
      <c r="G78" s="2">
        <f>IF('Ground-Truth'!C4&lt;&gt;"Ja","-",IFERROR(H78/I78*100,"-"))</f>
        <v>80</v>
      </c>
      <c r="H78" s="2">
        <f>IF('Ground-Truth'!C4&lt;&gt;"Ja","-",SUMIFS('Benchmark-Runs'!$R$2:$R$161,'Benchmark-Runs'!$C$2:$C$161,E78,'Benchmark-Runs'!$B$2:$B$161,F78))</f>
        <v>4</v>
      </c>
      <c r="I78" s="4">
        <f>IF('Ground-Truth'!C4&lt;&gt;"Ja","-",COUNTIFS('Benchmark-Runs'!$C$2:$C$161,E78,'Benchmark-Runs'!$B$2:$B$161,F78))</f>
        <v>5</v>
      </c>
    </row>
    <row r="79" spans="1:9" x14ac:dyDescent="0.25">
      <c r="A79" s="3">
        <v>3</v>
      </c>
      <c r="B79" s="2" t="str">
        <f>'Ground-Truth'!B4</f>
        <v>Tragschicht</v>
      </c>
      <c r="C79" s="2" t="str">
        <f>IF('Ground-Truth'!C4="Ja","✓ Ausgewertet","⊘ Ausgeschlossen")</f>
        <v>✓ Ausgewertet</v>
      </c>
      <c r="D79" s="2">
        <f>'Ground-Truth'!D4</f>
        <v>39</v>
      </c>
      <c r="E79" s="2" t="s">
        <v>49</v>
      </c>
      <c r="F79" s="2" t="s">
        <v>56</v>
      </c>
      <c r="G79" s="2">
        <f>IF('Ground-Truth'!C4&lt;&gt;"Ja","-",IFERROR(H79/I79*100,"-"))</f>
        <v>80</v>
      </c>
      <c r="H79" s="2">
        <f>IF('Ground-Truth'!C4&lt;&gt;"Ja","-",SUMIFS('Benchmark-Runs'!$R$2:$R$161,'Benchmark-Runs'!$C$2:$C$161,E79,'Benchmark-Runs'!$B$2:$B$161,F79))</f>
        <v>4</v>
      </c>
      <c r="I79" s="4">
        <f>IF('Ground-Truth'!C4&lt;&gt;"Ja","-",COUNTIFS('Benchmark-Runs'!$C$2:$C$161,E79,'Benchmark-Runs'!$B$2:$B$161,F79))</f>
        <v>5</v>
      </c>
    </row>
    <row r="80" spans="1:9" x14ac:dyDescent="0.25">
      <c r="A80" s="3">
        <v>3</v>
      </c>
      <c r="B80" s="2" t="str">
        <f>'Ground-Truth'!B4</f>
        <v>Tragschicht</v>
      </c>
      <c r="C80" s="2" t="str">
        <f>IF('Ground-Truth'!C4="Ja","✓ Ausgewertet","⊘ Ausgeschlossen")</f>
        <v>✓ Ausgewertet</v>
      </c>
      <c r="D80" s="2">
        <f>'Ground-Truth'!D4</f>
        <v>39</v>
      </c>
      <c r="E80" s="2" t="s">
        <v>49</v>
      </c>
      <c r="F80" s="2" t="s">
        <v>57</v>
      </c>
      <c r="G80" s="2">
        <f>IF('Ground-Truth'!C4&lt;&gt;"Ja","-",IFERROR(H80/I80*100,"-"))</f>
        <v>80</v>
      </c>
      <c r="H80" s="2">
        <f>IF('Ground-Truth'!C4&lt;&gt;"Ja","-",SUMIFS('Benchmark-Runs'!$R$2:$R$161,'Benchmark-Runs'!$C$2:$C$161,E80,'Benchmark-Runs'!$B$2:$B$161,F80))</f>
        <v>4</v>
      </c>
      <c r="I80" s="4">
        <f>IF('Ground-Truth'!C4&lt;&gt;"Ja","-",COUNTIFS('Benchmark-Runs'!$C$2:$C$161,E80,'Benchmark-Runs'!$B$2:$B$161,F80))</f>
        <v>5</v>
      </c>
    </row>
    <row r="81" spans="1:9" ht="30" x14ac:dyDescent="0.25">
      <c r="A81" s="3">
        <v>3</v>
      </c>
      <c r="B81" s="2" t="str">
        <f>'Ground-Truth'!B4</f>
        <v>Tragschicht</v>
      </c>
      <c r="C81" s="2" t="str">
        <f>IF('Ground-Truth'!C4="Ja","✓ Ausgewertet","⊘ Ausgeschlossen")</f>
        <v>✓ Ausgewertet</v>
      </c>
      <c r="D81" s="2">
        <f>'Ground-Truth'!D4</f>
        <v>39</v>
      </c>
      <c r="E81" s="2" t="s">
        <v>49</v>
      </c>
      <c r="F81" s="2" t="s">
        <v>58</v>
      </c>
      <c r="G81" s="2">
        <f>IF('Ground-Truth'!C4&lt;&gt;"Ja","-",IFERROR(H81/I81*100,"-"))</f>
        <v>100</v>
      </c>
      <c r="H81" s="2">
        <f>IF('Ground-Truth'!C4&lt;&gt;"Ja","-",SUMIFS('Benchmark-Runs'!$R$2:$R$161,'Benchmark-Runs'!$C$2:$C$161,E81,'Benchmark-Runs'!$B$2:$B$161,F81))</f>
        <v>5</v>
      </c>
      <c r="I81" s="4">
        <f>IF('Ground-Truth'!C4&lt;&gt;"Ja","-",COUNTIFS('Benchmark-Runs'!$C$2:$C$161,E81,'Benchmark-Runs'!$B$2:$B$161,F81))</f>
        <v>5</v>
      </c>
    </row>
    <row r="82" spans="1:9" x14ac:dyDescent="0.25">
      <c r="A82" s="3">
        <v>3</v>
      </c>
      <c r="B82" s="2" t="str">
        <f>'Ground-Truth'!B4</f>
        <v>Tragschicht</v>
      </c>
      <c r="C82" s="2" t="str">
        <f>IF('Ground-Truth'!C4="Ja","✓ Ausgewertet","⊘ Ausgeschlossen")</f>
        <v>✓ Ausgewertet</v>
      </c>
      <c r="D82" s="2">
        <f>'Ground-Truth'!D4</f>
        <v>39</v>
      </c>
      <c r="E82" s="2" t="s">
        <v>52</v>
      </c>
      <c r="F82" s="2" t="s">
        <v>41</v>
      </c>
      <c r="G82" s="2">
        <f>IF('Ground-Truth'!C4&lt;&gt;"Ja","-",IFERROR(H82/I82*100,"-"))</f>
        <v>100</v>
      </c>
      <c r="H82" s="2">
        <f>IF('Ground-Truth'!C4&lt;&gt;"Ja","-",SUMIFS('Benchmark-Runs'!$R$2:$R$161,'Benchmark-Runs'!$C$2:$C$161,E82,'Benchmark-Runs'!$B$2:$B$161,F82))</f>
        <v>5</v>
      </c>
      <c r="I82" s="4">
        <f>IF('Ground-Truth'!C4&lt;&gt;"Ja","-",COUNTIFS('Benchmark-Runs'!$C$2:$C$161,E82,'Benchmark-Runs'!$B$2:$B$161,F82))</f>
        <v>5</v>
      </c>
    </row>
    <row r="83" spans="1:9" x14ac:dyDescent="0.25">
      <c r="A83" s="3">
        <v>3</v>
      </c>
      <c r="B83" s="2" t="str">
        <f>'Ground-Truth'!B4</f>
        <v>Tragschicht</v>
      </c>
      <c r="C83" s="2" t="str">
        <f>IF('Ground-Truth'!C4="Ja","✓ Ausgewertet","⊘ Ausgeschlossen")</f>
        <v>✓ Ausgewertet</v>
      </c>
      <c r="D83" s="2">
        <f>'Ground-Truth'!D4</f>
        <v>39</v>
      </c>
      <c r="E83" s="2" t="s">
        <v>52</v>
      </c>
      <c r="F83" s="2" t="s">
        <v>44</v>
      </c>
      <c r="G83" s="2">
        <f>IF('Ground-Truth'!C4&lt;&gt;"Ja","-",IFERROR(H83/I83*100,"-"))</f>
        <v>100</v>
      </c>
      <c r="H83" s="2">
        <f>IF('Ground-Truth'!C4&lt;&gt;"Ja","-",SUMIFS('Benchmark-Runs'!$R$2:$R$161,'Benchmark-Runs'!$C$2:$C$161,E83,'Benchmark-Runs'!$B$2:$B$161,F83))</f>
        <v>5</v>
      </c>
      <c r="I83" s="4">
        <f>IF('Ground-Truth'!C4&lt;&gt;"Ja","-",COUNTIFS('Benchmark-Runs'!$C$2:$C$161,E83,'Benchmark-Runs'!$B$2:$B$161,F83))</f>
        <v>5</v>
      </c>
    </row>
    <row r="84" spans="1:9" x14ac:dyDescent="0.25">
      <c r="A84" s="3">
        <v>3</v>
      </c>
      <c r="B84" s="2" t="str">
        <f>'Ground-Truth'!B4</f>
        <v>Tragschicht</v>
      </c>
      <c r="C84" s="2" t="str">
        <f>IF('Ground-Truth'!C4="Ja","✓ Ausgewertet","⊘ Ausgeschlossen")</f>
        <v>✓ Ausgewertet</v>
      </c>
      <c r="D84" s="2">
        <f>'Ground-Truth'!D4</f>
        <v>39</v>
      </c>
      <c r="E84" s="2" t="s">
        <v>52</v>
      </c>
      <c r="F84" s="2" t="s">
        <v>46</v>
      </c>
      <c r="G84" s="2">
        <f>IF('Ground-Truth'!C4&lt;&gt;"Ja","-",IFERROR(H84/I84*100,"-"))</f>
        <v>100</v>
      </c>
      <c r="H84" s="2">
        <f>IF('Ground-Truth'!C4&lt;&gt;"Ja","-",SUMIFS('Benchmark-Runs'!$R$2:$R$161,'Benchmark-Runs'!$C$2:$C$161,E84,'Benchmark-Runs'!$B$2:$B$161,F84))</f>
        <v>5</v>
      </c>
      <c r="I84" s="4">
        <f>IF('Ground-Truth'!C4&lt;&gt;"Ja","-",COUNTIFS('Benchmark-Runs'!$C$2:$C$161,E84,'Benchmark-Runs'!$B$2:$B$161,F84))</f>
        <v>5</v>
      </c>
    </row>
    <row r="85" spans="1:9" x14ac:dyDescent="0.25">
      <c r="A85" s="3">
        <v>3</v>
      </c>
      <c r="B85" s="2" t="str">
        <f>'Ground-Truth'!B4</f>
        <v>Tragschicht</v>
      </c>
      <c r="C85" s="2" t="str">
        <f>IF('Ground-Truth'!C4="Ja","✓ Ausgewertet","⊘ Ausgeschlossen")</f>
        <v>✓ Ausgewertet</v>
      </c>
      <c r="D85" s="2">
        <f>'Ground-Truth'!D4</f>
        <v>39</v>
      </c>
      <c r="E85" s="2" t="s">
        <v>52</v>
      </c>
      <c r="F85" s="2" t="s">
        <v>47</v>
      </c>
      <c r="G85" s="2">
        <f>IF('Ground-Truth'!C4&lt;&gt;"Ja","-",IFERROR(H85/I85*100,"-"))</f>
        <v>100</v>
      </c>
      <c r="H85" s="2">
        <f>IF('Ground-Truth'!C4&lt;&gt;"Ja","-",SUMIFS('Benchmark-Runs'!$R$2:$R$161,'Benchmark-Runs'!$C$2:$C$161,E85,'Benchmark-Runs'!$B$2:$B$161,F85))</f>
        <v>5</v>
      </c>
      <c r="I85" s="4">
        <f>IF('Ground-Truth'!C4&lt;&gt;"Ja","-",COUNTIFS('Benchmark-Runs'!$C$2:$C$161,E85,'Benchmark-Runs'!$B$2:$B$161,F85))</f>
        <v>5</v>
      </c>
    </row>
    <row r="86" spans="1:9" x14ac:dyDescent="0.25">
      <c r="A86" s="3">
        <v>3</v>
      </c>
      <c r="B86" s="2" t="str">
        <f>'Ground-Truth'!B4</f>
        <v>Tragschicht</v>
      </c>
      <c r="C86" s="2" t="str">
        <f>IF('Ground-Truth'!C4="Ja","✓ Ausgewertet","⊘ Ausgeschlossen")</f>
        <v>✓ Ausgewertet</v>
      </c>
      <c r="D86" s="2">
        <f>'Ground-Truth'!D4</f>
        <v>39</v>
      </c>
      <c r="E86" s="2" t="s">
        <v>52</v>
      </c>
      <c r="F86" s="2" t="s">
        <v>48</v>
      </c>
      <c r="G86" s="2">
        <f>IF('Ground-Truth'!C4&lt;&gt;"Ja","-",IFERROR(H86/I86*100,"-"))</f>
        <v>100</v>
      </c>
      <c r="H86" s="2">
        <f>IF('Ground-Truth'!C4&lt;&gt;"Ja","-",SUMIFS('Benchmark-Runs'!$R$2:$R$161,'Benchmark-Runs'!$C$2:$C$161,E86,'Benchmark-Runs'!$B$2:$B$161,F86))</f>
        <v>5</v>
      </c>
      <c r="I86" s="4">
        <f>IF('Ground-Truth'!C4&lt;&gt;"Ja","-",COUNTIFS('Benchmark-Runs'!$C$2:$C$161,E86,'Benchmark-Runs'!$B$2:$B$161,F86))</f>
        <v>5</v>
      </c>
    </row>
    <row r="87" spans="1:9" x14ac:dyDescent="0.25">
      <c r="A87" s="3">
        <v>3</v>
      </c>
      <c r="B87" s="2" t="str">
        <f>'Ground-Truth'!B4</f>
        <v>Tragschicht</v>
      </c>
      <c r="C87" s="2" t="str">
        <f>IF('Ground-Truth'!C4="Ja","✓ Ausgewertet","⊘ Ausgeschlossen")</f>
        <v>✓ Ausgewertet</v>
      </c>
      <c r="D87" s="2">
        <f>'Ground-Truth'!D4</f>
        <v>39</v>
      </c>
      <c r="E87" s="2" t="s">
        <v>52</v>
      </c>
      <c r="F87" s="2" t="s">
        <v>56</v>
      </c>
      <c r="G87" s="2">
        <f>IF('Ground-Truth'!C4&lt;&gt;"Ja","-",IFERROR(H87/I87*100,"-"))</f>
        <v>100</v>
      </c>
      <c r="H87" s="2">
        <f>IF('Ground-Truth'!C4&lt;&gt;"Ja","-",SUMIFS('Benchmark-Runs'!$R$2:$R$161,'Benchmark-Runs'!$C$2:$C$161,E87,'Benchmark-Runs'!$B$2:$B$161,F87))</f>
        <v>5</v>
      </c>
      <c r="I87" s="4">
        <f>IF('Ground-Truth'!C4&lt;&gt;"Ja","-",COUNTIFS('Benchmark-Runs'!$C$2:$C$161,E87,'Benchmark-Runs'!$B$2:$B$161,F87))</f>
        <v>5</v>
      </c>
    </row>
    <row r="88" spans="1:9" x14ac:dyDescent="0.25">
      <c r="A88" s="3">
        <v>3</v>
      </c>
      <c r="B88" s="2" t="str">
        <f>'Ground-Truth'!B4</f>
        <v>Tragschicht</v>
      </c>
      <c r="C88" s="2" t="str">
        <f>IF('Ground-Truth'!C4="Ja","✓ Ausgewertet","⊘ Ausgeschlossen")</f>
        <v>✓ Ausgewertet</v>
      </c>
      <c r="D88" s="2">
        <f>'Ground-Truth'!D4</f>
        <v>39</v>
      </c>
      <c r="E88" s="2" t="s">
        <v>52</v>
      </c>
      <c r="F88" s="2" t="s">
        <v>57</v>
      </c>
      <c r="G88" s="2">
        <f>IF('Ground-Truth'!C4&lt;&gt;"Ja","-",IFERROR(H88/I88*100,"-"))</f>
        <v>100</v>
      </c>
      <c r="H88" s="2">
        <f>IF('Ground-Truth'!C4&lt;&gt;"Ja","-",SUMIFS('Benchmark-Runs'!$R$2:$R$161,'Benchmark-Runs'!$C$2:$C$161,E88,'Benchmark-Runs'!$B$2:$B$161,F88))</f>
        <v>5</v>
      </c>
      <c r="I88" s="4">
        <f>IF('Ground-Truth'!C4&lt;&gt;"Ja","-",COUNTIFS('Benchmark-Runs'!$C$2:$C$161,E88,'Benchmark-Runs'!$B$2:$B$161,F88))</f>
        <v>5</v>
      </c>
    </row>
    <row r="89" spans="1:9" ht="30" x14ac:dyDescent="0.25">
      <c r="A89" s="3">
        <v>3</v>
      </c>
      <c r="B89" s="2" t="str">
        <f>'Ground-Truth'!B4</f>
        <v>Tragschicht</v>
      </c>
      <c r="C89" s="2" t="str">
        <f>IF('Ground-Truth'!C4="Ja","✓ Ausgewertet","⊘ Ausgeschlossen")</f>
        <v>✓ Ausgewertet</v>
      </c>
      <c r="D89" s="2">
        <f>'Ground-Truth'!D4</f>
        <v>39</v>
      </c>
      <c r="E89" s="2" t="s">
        <v>52</v>
      </c>
      <c r="F89" s="2" t="s">
        <v>58</v>
      </c>
      <c r="G89" s="2">
        <f>IF('Ground-Truth'!C4&lt;&gt;"Ja","-",IFERROR(H89/I89*100,"-"))</f>
        <v>100</v>
      </c>
      <c r="H89" s="2">
        <f>IF('Ground-Truth'!C4&lt;&gt;"Ja","-",SUMIFS('Benchmark-Runs'!$R$2:$R$161,'Benchmark-Runs'!$C$2:$C$161,E89,'Benchmark-Runs'!$B$2:$B$161,F89))</f>
        <v>5</v>
      </c>
      <c r="I89" s="4">
        <f>IF('Ground-Truth'!C4&lt;&gt;"Ja","-",COUNTIFS('Benchmark-Runs'!$C$2:$C$161,E89,'Benchmark-Runs'!$B$2:$B$161,F89))</f>
        <v>5</v>
      </c>
    </row>
    <row r="90" spans="1:9" x14ac:dyDescent="0.25">
      <c r="A90" s="3">
        <v>3</v>
      </c>
      <c r="B90" s="2" t="str">
        <f>'Ground-Truth'!B4</f>
        <v>Tragschicht</v>
      </c>
      <c r="C90" s="2" t="str">
        <f>IF('Ground-Truth'!C4="Ja","✓ Ausgewertet","⊘ Ausgeschlossen")</f>
        <v>✓ Ausgewertet</v>
      </c>
      <c r="D90" s="2">
        <f>'Ground-Truth'!D4</f>
        <v>39</v>
      </c>
      <c r="E90" s="2" t="s">
        <v>53</v>
      </c>
      <c r="F90" s="2" t="s">
        <v>41</v>
      </c>
      <c r="G90" s="2">
        <f>IF('Ground-Truth'!C4&lt;&gt;"Ja","-",IFERROR(H90/I90*100,"-"))</f>
        <v>100</v>
      </c>
      <c r="H90" s="2">
        <f>IF('Ground-Truth'!C4&lt;&gt;"Ja","-",SUMIFS('Benchmark-Runs'!$R$2:$R$161,'Benchmark-Runs'!$C$2:$C$161,E90,'Benchmark-Runs'!$B$2:$B$161,F90))</f>
        <v>5</v>
      </c>
      <c r="I90" s="4">
        <f>IF('Ground-Truth'!C4&lt;&gt;"Ja","-",COUNTIFS('Benchmark-Runs'!$C$2:$C$161,E90,'Benchmark-Runs'!$B$2:$B$161,F90))</f>
        <v>5</v>
      </c>
    </row>
    <row r="91" spans="1:9" x14ac:dyDescent="0.25">
      <c r="A91" s="3">
        <v>3</v>
      </c>
      <c r="B91" s="2" t="str">
        <f>'Ground-Truth'!B4</f>
        <v>Tragschicht</v>
      </c>
      <c r="C91" s="2" t="str">
        <f>IF('Ground-Truth'!C4="Ja","✓ Ausgewertet","⊘ Ausgeschlossen")</f>
        <v>✓ Ausgewertet</v>
      </c>
      <c r="D91" s="2">
        <f>'Ground-Truth'!D4</f>
        <v>39</v>
      </c>
      <c r="E91" s="2" t="s">
        <v>53</v>
      </c>
      <c r="F91" s="2" t="s">
        <v>44</v>
      </c>
      <c r="G91" s="2">
        <f>IF('Ground-Truth'!C4&lt;&gt;"Ja","-",IFERROR(H91/I91*100,"-"))</f>
        <v>100</v>
      </c>
      <c r="H91" s="2">
        <f>IF('Ground-Truth'!C4&lt;&gt;"Ja","-",SUMIFS('Benchmark-Runs'!$R$2:$R$161,'Benchmark-Runs'!$C$2:$C$161,E91,'Benchmark-Runs'!$B$2:$B$161,F91))</f>
        <v>5</v>
      </c>
      <c r="I91" s="4">
        <f>IF('Ground-Truth'!C4&lt;&gt;"Ja","-",COUNTIFS('Benchmark-Runs'!$C$2:$C$161,E91,'Benchmark-Runs'!$B$2:$B$161,F91))</f>
        <v>5</v>
      </c>
    </row>
    <row r="92" spans="1:9" x14ac:dyDescent="0.25">
      <c r="A92" s="3">
        <v>3</v>
      </c>
      <c r="B92" s="2" t="str">
        <f>'Ground-Truth'!B4</f>
        <v>Tragschicht</v>
      </c>
      <c r="C92" s="2" t="str">
        <f>IF('Ground-Truth'!C4="Ja","✓ Ausgewertet","⊘ Ausgeschlossen")</f>
        <v>✓ Ausgewertet</v>
      </c>
      <c r="D92" s="2">
        <f>'Ground-Truth'!D4</f>
        <v>39</v>
      </c>
      <c r="E92" s="2" t="s">
        <v>53</v>
      </c>
      <c r="F92" s="2" t="s">
        <v>46</v>
      </c>
      <c r="G92" s="2">
        <f>IF('Ground-Truth'!C4&lt;&gt;"Ja","-",IFERROR(H92/I92*100,"-"))</f>
        <v>100</v>
      </c>
      <c r="H92" s="2">
        <f>IF('Ground-Truth'!C4&lt;&gt;"Ja","-",SUMIFS('Benchmark-Runs'!$R$2:$R$161,'Benchmark-Runs'!$C$2:$C$161,E92,'Benchmark-Runs'!$B$2:$B$161,F92))</f>
        <v>5</v>
      </c>
      <c r="I92" s="4">
        <f>IF('Ground-Truth'!C4&lt;&gt;"Ja","-",COUNTIFS('Benchmark-Runs'!$C$2:$C$161,E92,'Benchmark-Runs'!$B$2:$B$161,F92))</f>
        <v>5</v>
      </c>
    </row>
    <row r="93" spans="1:9" x14ac:dyDescent="0.25">
      <c r="A93" s="3">
        <v>3</v>
      </c>
      <c r="B93" s="2" t="str">
        <f>'Ground-Truth'!B4</f>
        <v>Tragschicht</v>
      </c>
      <c r="C93" s="2" t="str">
        <f>IF('Ground-Truth'!C4="Ja","✓ Ausgewertet","⊘ Ausgeschlossen")</f>
        <v>✓ Ausgewertet</v>
      </c>
      <c r="D93" s="2">
        <f>'Ground-Truth'!D4</f>
        <v>39</v>
      </c>
      <c r="E93" s="2" t="s">
        <v>53</v>
      </c>
      <c r="F93" s="2" t="s">
        <v>47</v>
      </c>
      <c r="G93" s="2">
        <f>IF('Ground-Truth'!C4&lt;&gt;"Ja","-",IFERROR(H93/I93*100,"-"))</f>
        <v>100</v>
      </c>
      <c r="H93" s="2">
        <f>IF('Ground-Truth'!C4&lt;&gt;"Ja","-",SUMIFS('Benchmark-Runs'!$R$2:$R$161,'Benchmark-Runs'!$C$2:$C$161,E93,'Benchmark-Runs'!$B$2:$B$161,F93))</f>
        <v>5</v>
      </c>
      <c r="I93" s="4">
        <f>IF('Ground-Truth'!C4&lt;&gt;"Ja","-",COUNTIFS('Benchmark-Runs'!$C$2:$C$161,E93,'Benchmark-Runs'!$B$2:$B$161,F93))</f>
        <v>5</v>
      </c>
    </row>
    <row r="94" spans="1:9" x14ac:dyDescent="0.25">
      <c r="A94" s="3">
        <v>3</v>
      </c>
      <c r="B94" s="2" t="str">
        <f>'Ground-Truth'!B4</f>
        <v>Tragschicht</v>
      </c>
      <c r="C94" s="2" t="str">
        <f>IF('Ground-Truth'!C4="Ja","✓ Ausgewertet","⊘ Ausgeschlossen")</f>
        <v>✓ Ausgewertet</v>
      </c>
      <c r="D94" s="2">
        <f>'Ground-Truth'!D4</f>
        <v>39</v>
      </c>
      <c r="E94" s="2" t="s">
        <v>53</v>
      </c>
      <c r="F94" s="2" t="s">
        <v>48</v>
      </c>
      <c r="G94" s="2">
        <f>IF('Ground-Truth'!C4&lt;&gt;"Ja","-",IFERROR(H94/I94*100,"-"))</f>
        <v>80</v>
      </c>
      <c r="H94" s="2">
        <f>IF('Ground-Truth'!C4&lt;&gt;"Ja","-",SUMIFS('Benchmark-Runs'!$R$2:$R$161,'Benchmark-Runs'!$C$2:$C$161,E94,'Benchmark-Runs'!$B$2:$B$161,F94))</f>
        <v>4</v>
      </c>
      <c r="I94" s="4">
        <f>IF('Ground-Truth'!C4&lt;&gt;"Ja","-",COUNTIFS('Benchmark-Runs'!$C$2:$C$161,E94,'Benchmark-Runs'!$B$2:$B$161,F94))</f>
        <v>5</v>
      </c>
    </row>
    <row r="95" spans="1:9" x14ac:dyDescent="0.25">
      <c r="A95" s="3">
        <v>3</v>
      </c>
      <c r="B95" s="2" t="str">
        <f>'Ground-Truth'!B4</f>
        <v>Tragschicht</v>
      </c>
      <c r="C95" s="2" t="str">
        <f>IF('Ground-Truth'!C4="Ja","✓ Ausgewertet","⊘ Ausgeschlossen")</f>
        <v>✓ Ausgewertet</v>
      </c>
      <c r="D95" s="2">
        <f>'Ground-Truth'!D4</f>
        <v>39</v>
      </c>
      <c r="E95" s="2" t="s">
        <v>53</v>
      </c>
      <c r="F95" s="2" t="s">
        <v>56</v>
      </c>
      <c r="G95" s="2">
        <f>IF('Ground-Truth'!C4&lt;&gt;"Ja","-",IFERROR(H95/I95*100,"-"))</f>
        <v>100</v>
      </c>
      <c r="H95" s="2">
        <f>IF('Ground-Truth'!C4&lt;&gt;"Ja","-",SUMIFS('Benchmark-Runs'!$R$2:$R$161,'Benchmark-Runs'!$C$2:$C$161,E95,'Benchmark-Runs'!$B$2:$B$161,F95))</f>
        <v>5</v>
      </c>
      <c r="I95" s="4">
        <f>IF('Ground-Truth'!C4&lt;&gt;"Ja","-",COUNTIFS('Benchmark-Runs'!$C$2:$C$161,E95,'Benchmark-Runs'!$B$2:$B$161,F95))</f>
        <v>5</v>
      </c>
    </row>
    <row r="96" spans="1:9" x14ac:dyDescent="0.25">
      <c r="A96" s="3">
        <v>3</v>
      </c>
      <c r="B96" s="2" t="str">
        <f>'Ground-Truth'!B4</f>
        <v>Tragschicht</v>
      </c>
      <c r="C96" s="2" t="str">
        <f>IF('Ground-Truth'!C4="Ja","✓ Ausgewertet","⊘ Ausgeschlossen")</f>
        <v>✓ Ausgewertet</v>
      </c>
      <c r="D96" s="2">
        <f>'Ground-Truth'!D4</f>
        <v>39</v>
      </c>
      <c r="E96" s="2" t="s">
        <v>53</v>
      </c>
      <c r="F96" s="2" t="s">
        <v>57</v>
      </c>
      <c r="G96" s="2">
        <f>IF('Ground-Truth'!C4&lt;&gt;"Ja","-",IFERROR(H96/I96*100,"-"))</f>
        <v>100</v>
      </c>
      <c r="H96" s="2">
        <f>IF('Ground-Truth'!C4&lt;&gt;"Ja","-",SUMIFS('Benchmark-Runs'!$R$2:$R$161,'Benchmark-Runs'!$C$2:$C$161,E96,'Benchmark-Runs'!$B$2:$B$161,F96))</f>
        <v>5</v>
      </c>
      <c r="I96" s="4">
        <f>IF('Ground-Truth'!C4&lt;&gt;"Ja","-",COUNTIFS('Benchmark-Runs'!$C$2:$C$161,E96,'Benchmark-Runs'!$B$2:$B$161,F96))</f>
        <v>5</v>
      </c>
    </row>
    <row r="97" spans="1:9" ht="30" x14ac:dyDescent="0.25">
      <c r="A97" s="3">
        <v>3</v>
      </c>
      <c r="B97" s="2" t="str">
        <f>'Ground-Truth'!B4</f>
        <v>Tragschicht</v>
      </c>
      <c r="C97" s="2" t="str">
        <f>IF('Ground-Truth'!C4="Ja","✓ Ausgewertet","⊘ Ausgeschlossen")</f>
        <v>✓ Ausgewertet</v>
      </c>
      <c r="D97" s="2">
        <f>'Ground-Truth'!D4</f>
        <v>39</v>
      </c>
      <c r="E97" s="2" t="s">
        <v>53</v>
      </c>
      <c r="F97" s="2" t="s">
        <v>58</v>
      </c>
      <c r="G97" s="2">
        <f>IF('Ground-Truth'!C4&lt;&gt;"Ja","-",IFERROR(H97/I97*100,"-"))</f>
        <v>100</v>
      </c>
      <c r="H97" s="2">
        <f>IF('Ground-Truth'!C4&lt;&gt;"Ja","-",SUMIFS('Benchmark-Runs'!$R$2:$R$161,'Benchmark-Runs'!$C$2:$C$161,E97,'Benchmark-Runs'!$B$2:$B$161,F97))</f>
        <v>5</v>
      </c>
      <c r="I97" s="4">
        <f>IF('Ground-Truth'!C4&lt;&gt;"Ja","-",COUNTIFS('Benchmark-Runs'!$C$2:$C$161,E97,'Benchmark-Runs'!$B$2:$B$161,F97))</f>
        <v>5</v>
      </c>
    </row>
    <row r="98" spans="1:9" x14ac:dyDescent="0.25">
      <c r="A98" s="3">
        <v>4</v>
      </c>
      <c r="B98" s="2" t="str">
        <f>'Ground-Truth'!B5</f>
        <v>Schottertrag</v>
      </c>
      <c r="C98" s="2" t="str">
        <f>IF('Ground-Truth'!C5="Ja","✓ Ausgewertet","⊘ Ausgeschlossen")</f>
        <v>⊘ Ausgeschlossen</v>
      </c>
      <c r="D98" s="2">
        <f>'Ground-Truth'!D5</f>
        <v>0</v>
      </c>
      <c r="E98" s="2" t="s">
        <v>42</v>
      </c>
      <c r="F98" s="2" t="s">
        <v>41</v>
      </c>
      <c r="G98" s="2" t="str">
        <f>IF('Ground-Truth'!C5&lt;&gt;"Ja","-",IFERROR(H98/I98*100,"-"))</f>
        <v>-</v>
      </c>
      <c r="H98" s="2" t="str">
        <f>IF('Ground-Truth'!C5&lt;&gt;"Ja","-",SUMIFS('Benchmark-Runs'!$S$2:$S$161,'Benchmark-Runs'!$C$2:$C$161,E98,'Benchmark-Runs'!$B$2:$B$161,F98))</f>
        <v>-</v>
      </c>
      <c r="I98" s="4" t="str">
        <f>IF('Ground-Truth'!C5&lt;&gt;"Ja","-",COUNTIFS('Benchmark-Runs'!$C$2:$C$161,E98,'Benchmark-Runs'!$B$2:$B$161,F98))</f>
        <v>-</v>
      </c>
    </row>
    <row r="99" spans="1:9" x14ac:dyDescent="0.25">
      <c r="A99" s="3">
        <v>4</v>
      </c>
      <c r="B99" s="2" t="str">
        <f>'Ground-Truth'!B5</f>
        <v>Schottertrag</v>
      </c>
      <c r="C99" s="2" t="str">
        <f>IF('Ground-Truth'!C5="Ja","✓ Ausgewertet","⊘ Ausgeschlossen")</f>
        <v>⊘ Ausgeschlossen</v>
      </c>
      <c r="D99" s="2">
        <f>'Ground-Truth'!D5</f>
        <v>0</v>
      </c>
      <c r="E99" s="2" t="s">
        <v>42</v>
      </c>
      <c r="F99" s="2" t="s">
        <v>44</v>
      </c>
      <c r="G99" s="2" t="str">
        <f>IF('Ground-Truth'!C5&lt;&gt;"Ja","-",IFERROR(H99/I99*100,"-"))</f>
        <v>-</v>
      </c>
      <c r="H99" s="2" t="str">
        <f>IF('Ground-Truth'!C5&lt;&gt;"Ja","-",SUMIFS('Benchmark-Runs'!$S$2:$S$161,'Benchmark-Runs'!$C$2:$C$161,E99,'Benchmark-Runs'!$B$2:$B$161,F99))</f>
        <v>-</v>
      </c>
      <c r="I99" s="4" t="str">
        <f>IF('Ground-Truth'!C5&lt;&gt;"Ja","-",COUNTIFS('Benchmark-Runs'!$C$2:$C$161,E99,'Benchmark-Runs'!$B$2:$B$161,F99))</f>
        <v>-</v>
      </c>
    </row>
    <row r="100" spans="1:9" x14ac:dyDescent="0.25">
      <c r="A100" s="3">
        <v>4</v>
      </c>
      <c r="B100" s="2" t="str">
        <f>'Ground-Truth'!B5</f>
        <v>Schottertrag</v>
      </c>
      <c r="C100" s="2" t="str">
        <f>IF('Ground-Truth'!C5="Ja","✓ Ausgewertet","⊘ Ausgeschlossen")</f>
        <v>⊘ Ausgeschlossen</v>
      </c>
      <c r="D100" s="2">
        <f>'Ground-Truth'!D5</f>
        <v>0</v>
      </c>
      <c r="E100" s="2" t="s">
        <v>42</v>
      </c>
      <c r="F100" s="2" t="s">
        <v>46</v>
      </c>
      <c r="G100" s="2" t="str">
        <f>IF('Ground-Truth'!C5&lt;&gt;"Ja","-",IFERROR(H100/I100*100,"-"))</f>
        <v>-</v>
      </c>
      <c r="H100" s="2" t="str">
        <f>IF('Ground-Truth'!C5&lt;&gt;"Ja","-",SUMIFS('Benchmark-Runs'!$S$2:$S$161,'Benchmark-Runs'!$C$2:$C$161,E100,'Benchmark-Runs'!$B$2:$B$161,F100))</f>
        <v>-</v>
      </c>
      <c r="I100" s="4" t="str">
        <f>IF('Ground-Truth'!C5&lt;&gt;"Ja","-",COUNTIFS('Benchmark-Runs'!$C$2:$C$161,E100,'Benchmark-Runs'!$B$2:$B$161,F100))</f>
        <v>-</v>
      </c>
    </row>
    <row r="101" spans="1:9" x14ac:dyDescent="0.25">
      <c r="A101" s="3">
        <v>4</v>
      </c>
      <c r="B101" s="2" t="str">
        <f>'Ground-Truth'!B5</f>
        <v>Schottertrag</v>
      </c>
      <c r="C101" s="2" t="str">
        <f>IF('Ground-Truth'!C5="Ja","✓ Ausgewertet","⊘ Ausgeschlossen")</f>
        <v>⊘ Ausgeschlossen</v>
      </c>
      <c r="D101" s="2">
        <f>'Ground-Truth'!D5</f>
        <v>0</v>
      </c>
      <c r="E101" s="2" t="s">
        <v>42</v>
      </c>
      <c r="F101" s="2" t="s">
        <v>47</v>
      </c>
      <c r="G101" s="2" t="str">
        <f>IF('Ground-Truth'!C5&lt;&gt;"Ja","-",IFERROR(H101/I101*100,"-"))</f>
        <v>-</v>
      </c>
      <c r="H101" s="2" t="str">
        <f>IF('Ground-Truth'!C5&lt;&gt;"Ja","-",SUMIFS('Benchmark-Runs'!$S$2:$S$161,'Benchmark-Runs'!$C$2:$C$161,E101,'Benchmark-Runs'!$B$2:$B$161,F101))</f>
        <v>-</v>
      </c>
      <c r="I101" s="4" t="str">
        <f>IF('Ground-Truth'!C5&lt;&gt;"Ja","-",COUNTIFS('Benchmark-Runs'!$C$2:$C$161,E101,'Benchmark-Runs'!$B$2:$B$161,F101))</f>
        <v>-</v>
      </c>
    </row>
    <row r="102" spans="1:9" x14ac:dyDescent="0.25">
      <c r="A102" s="3">
        <v>4</v>
      </c>
      <c r="B102" s="2" t="str">
        <f>'Ground-Truth'!B5</f>
        <v>Schottertrag</v>
      </c>
      <c r="C102" s="2" t="str">
        <f>IF('Ground-Truth'!C5="Ja","✓ Ausgewertet","⊘ Ausgeschlossen")</f>
        <v>⊘ Ausgeschlossen</v>
      </c>
      <c r="D102" s="2">
        <f>'Ground-Truth'!D5</f>
        <v>0</v>
      </c>
      <c r="E102" s="2" t="s">
        <v>42</v>
      </c>
      <c r="F102" s="2" t="s">
        <v>48</v>
      </c>
      <c r="G102" s="2" t="str">
        <f>IF('Ground-Truth'!C5&lt;&gt;"Ja","-",IFERROR(H102/I102*100,"-"))</f>
        <v>-</v>
      </c>
      <c r="H102" s="2" t="str">
        <f>IF('Ground-Truth'!C5&lt;&gt;"Ja","-",SUMIFS('Benchmark-Runs'!$S$2:$S$161,'Benchmark-Runs'!$C$2:$C$161,E102,'Benchmark-Runs'!$B$2:$B$161,F102))</f>
        <v>-</v>
      </c>
      <c r="I102" s="4" t="str">
        <f>IF('Ground-Truth'!C5&lt;&gt;"Ja","-",COUNTIFS('Benchmark-Runs'!$C$2:$C$161,E102,'Benchmark-Runs'!$B$2:$B$161,F102))</f>
        <v>-</v>
      </c>
    </row>
    <row r="103" spans="1:9" x14ac:dyDescent="0.25">
      <c r="A103" s="3">
        <v>4</v>
      </c>
      <c r="B103" s="2" t="str">
        <f>'Ground-Truth'!B5</f>
        <v>Schottertrag</v>
      </c>
      <c r="C103" s="2" t="str">
        <f>IF('Ground-Truth'!C5="Ja","✓ Ausgewertet","⊘ Ausgeschlossen")</f>
        <v>⊘ Ausgeschlossen</v>
      </c>
      <c r="D103" s="2">
        <f>'Ground-Truth'!D5</f>
        <v>0</v>
      </c>
      <c r="E103" s="2" t="s">
        <v>42</v>
      </c>
      <c r="F103" s="2" t="s">
        <v>56</v>
      </c>
      <c r="G103" s="2" t="str">
        <f>IF('Ground-Truth'!C5&lt;&gt;"Ja","-",IFERROR(H103/I103*100,"-"))</f>
        <v>-</v>
      </c>
      <c r="H103" s="2" t="str">
        <f>IF('Ground-Truth'!C5&lt;&gt;"Ja","-",SUMIFS('Benchmark-Runs'!$S$2:$S$161,'Benchmark-Runs'!$C$2:$C$161,E103,'Benchmark-Runs'!$B$2:$B$161,F103))</f>
        <v>-</v>
      </c>
      <c r="I103" s="4" t="str">
        <f>IF('Ground-Truth'!C5&lt;&gt;"Ja","-",COUNTIFS('Benchmark-Runs'!$C$2:$C$161,E103,'Benchmark-Runs'!$B$2:$B$161,F103))</f>
        <v>-</v>
      </c>
    </row>
    <row r="104" spans="1:9" x14ac:dyDescent="0.25">
      <c r="A104" s="3">
        <v>4</v>
      </c>
      <c r="B104" s="2" t="str">
        <f>'Ground-Truth'!B5</f>
        <v>Schottertrag</v>
      </c>
      <c r="C104" s="2" t="str">
        <f>IF('Ground-Truth'!C5="Ja","✓ Ausgewertet","⊘ Ausgeschlossen")</f>
        <v>⊘ Ausgeschlossen</v>
      </c>
      <c r="D104" s="2">
        <f>'Ground-Truth'!D5</f>
        <v>0</v>
      </c>
      <c r="E104" s="2" t="s">
        <v>42</v>
      </c>
      <c r="F104" s="2" t="s">
        <v>57</v>
      </c>
      <c r="G104" s="2" t="str">
        <f>IF('Ground-Truth'!C5&lt;&gt;"Ja","-",IFERROR(H104/I104*100,"-"))</f>
        <v>-</v>
      </c>
      <c r="H104" s="2" t="str">
        <f>IF('Ground-Truth'!C5&lt;&gt;"Ja","-",SUMIFS('Benchmark-Runs'!$S$2:$S$161,'Benchmark-Runs'!$C$2:$C$161,E104,'Benchmark-Runs'!$B$2:$B$161,F104))</f>
        <v>-</v>
      </c>
      <c r="I104" s="4" t="str">
        <f>IF('Ground-Truth'!C5&lt;&gt;"Ja","-",COUNTIFS('Benchmark-Runs'!$C$2:$C$161,E104,'Benchmark-Runs'!$B$2:$B$161,F104))</f>
        <v>-</v>
      </c>
    </row>
    <row r="105" spans="1:9" ht="30" x14ac:dyDescent="0.25">
      <c r="A105" s="3">
        <v>4</v>
      </c>
      <c r="B105" s="2" t="str">
        <f>'Ground-Truth'!B5</f>
        <v>Schottertrag</v>
      </c>
      <c r="C105" s="2" t="str">
        <f>IF('Ground-Truth'!C5="Ja","✓ Ausgewertet","⊘ Ausgeschlossen")</f>
        <v>⊘ Ausgeschlossen</v>
      </c>
      <c r="D105" s="2">
        <f>'Ground-Truth'!D5</f>
        <v>0</v>
      </c>
      <c r="E105" s="2" t="s">
        <v>42</v>
      </c>
      <c r="F105" s="2" t="s">
        <v>58</v>
      </c>
      <c r="G105" s="2" t="str">
        <f>IF('Ground-Truth'!C5&lt;&gt;"Ja","-",IFERROR(H105/I105*100,"-"))</f>
        <v>-</v>
      </c>
      <c r="H105" s="2" t="str">
        <f>IF('Ground-Truth'!C5&lt;&gt;"Ja","-",SUMIFS('Benchmark-Runs'!$S$2:$S$161,'Benchmark-Runs'!$C$2:$C$161,E105,'Benchmark-Runs'!$B$2:$B$161,F105))</f>
        <v>-</v>
      </c>
      <c r="I105" s="4" t="str">
        <f>IF('Ground-Truth'!C5&lt;&gt;"Ja","-",COUNTIFS('Benchmark-Runs'!$C$2:$C$161,E105,'Benchmark-Runs'!$B$2:$B$161,F105))</f>
        <v>-</v>
      </c>
    </row>
    <row r="106" spans="1:9" x14ac:dyDescent="0.25">
      <c r="A106" s="3">
        <v>4</v>
      </c>
      <c r="B106" s="2" t="str">
        <f>'Ground-Truth'!B5</f>
        <v>Schottertrag</v>
      </c>
      <c r="C106" s="2" t="str">
        <f>IF('Ground-Truth'!C5="Ja","✓ Ausgewertet","⊘ Ausgeschlossen")</f>
        <v>⊘ Ausgeschlossen</v>
      </c>
      <c r="D106" s="2">
        <f>'Ground-Truth'!D5</f>
        <v>0</v>
      </c>
      <c r="E106" s="2" t="s">
        <v>49</v>
      </c>
      <c r="F106" s="2" t="s">
        <v>41</v>
      </c>
      <c r="G106" s="2" t="str">
        <f>IF('Ground-Truth'!C5&lt;&gt;"Ja","-",IFERROR(H106/I106*100,"-"))</f>
        <v>-</v>
      </c>
      <c r="H106" s="2" t="str">
        <f>IF('Ground-Truth'!C5&lt;&gt;"Ja","-",SUMIFS('Benchmark-Runs'!$S$2:$S$161,'Benchmark-Runs'!$C$2:$C$161,E106,'Benchmark-Runs'!$B$2:$B$161,F106))</f>
        <v>-</v>
      </c>
      <c r="I106" s="4" t="str">
        <f>IF('Ground-Truth'!C5&lt;&gt;"Ja","-",COUNTIFS('Benchmark-Runs'!$C$2:$C$161,E106,'Benchmark-Runs'!$B$2:$B$161,F106))</f>
        <v>-</v>
      </c>
    </row>
    <row r="107" spans="1:9" x14ac:dyDescent="0.25">
      <c r="A107" s="3">
        <v>4</v>
      </c>
      <c r="B107" s="2" t="str">
        <f>'Ground-Truth'!B5</f>
        <v>Schottertrag</v>
      </c>
      <c r="C107" s="2" t="str">
        <f>IF('Ground-Truth'!C5="Ja","✓ Ausgewertet","⊘ Ausgeschlossen")</f>
        <v>⊘ Ausgeschlossen</v>
      </c>
      <c r="D107" s="2">
        <f>'Ground-Truth'!D5</f>
        <v>0</v>
      </c>
      <c r="E107" s="2" t="s">
        <v>49</v>
      </c>
      <c r="F107" s="2" t="s">
        <v>44</v>
      </c>
      <c r="G107" s="2" t="str">
        <f>IF('Ground-Truth'!C5&lt;&gt;"Ja","-",IFERROR(H107/I107*100,"-"))</f>
        <v>-</v>
      </c>
      <c r="H107" s="2" t="str">
        <f>IF('Ground-Truth'!C5&lt;&gt;"Ja","-",SUMIFS('Benchmark-Runs'!$S$2:$S$161,'Benchmark-Runs'!$C$2:$C$161,E107,'Benchmark-Runs'!$B$2:$B$161,F107))</f>
        <v>-</v>
      </c>
      <c r="I107" s="4" t="str">
        <f>IF('Ground-Truth'!C5&lt;&gt;"Ja","-",COUNTIFS('Benchmark-Runs'!$C$2:$C$161,E107,'Benchmark-Runs'!$B$2:$B$161,F107))</f>
        <v>-</v>
      </c>
    </row>
    <row r="108" spans="1:9" x14ac:dyDescent="0.25">
      <c r="A108" s="3">
        <v>4</v>
      </c>
      <c r="B108" s="2" t="str">
        <f>'Ground-Truth'!B5</f>
        <v>Schottertrag</v>
      </c>
      <c r="C108" s="2" t="str">
        <f>IF('Ground-Truth'!C5="Ja","✓ Ausgewertet","⊘ Ausgeschlossen")</f>
        <v>⊘ Ausgeschlossen</v>
      </c>
      <c r="D108" s="2">
        <f>'Ground-Truth'!D5</f>
        <v>0</v>
      </c>
      <c r="E108" s="2" t="s">
        <v>49</v>
      </c>
      <c r="F108" s="2" t="s">
        <v>46</v>
      </c>
      <c r="G108" s="2" t="str">
        <f>IF('Ground-Truth'!C5&lt;&gt;"Ja","-",IFERROR(H108/I108*100,"-"))</f>
        <v>-</v>
      </c>
      <c r="H108" s="2" t="str">
        <f>IF('Ground-Truth'!C5&lt;&gt;"Ja","-",SUMIFS('Benchmark-Runs'!$S$2:$S$161,'Benchmark-Runs'!$C$2:$C$161,E108,'Benchmark-Runs'!$B$2:$B$161,F108))</f>
        <v>-</v>
      </c>
      <c r="I108" s="4" t="str">
        <f>IF('Ground-Truth'!C5&lt;&gt;"Ja","-",COUNTIFS('Benchmark-Runs'!$C$2:$C$161,E108,'Benchmark-Runs'!$B$2:$B$161,F108))</f>
        <v>-</v>
      </c>
    </row>
    <row r="109" spans="1:9" x14ac:dyDescent="0.25">
      <c r="A109" s="3">
        <v>4</v>
      </c>
      <c r="B109" s="2" t="str">
        <f>'Ground-Truth'!B5</f>
        <v>Schottertrag</v>
      </c>
      <c r="C109" s="2" t="str">
        <f>IF('Ground-Truth'!C5="Ja","✓ Ausgewertet","⊘ Ausgeschlossen")</f>
        <v>⊘ Ausgeschlossen</v>
      </c>
      <c r="D109" s="2">
        <f>'Ground-Truth'!D5</f>
        <v>0</v>
      </c>
      <c r="E109" s="2" t="s">
        <v>49</v>
      </c>
      <c r="F109" s="2" t="s">
        <v>47</v>
      </c>
      <c r="G109" s="2" t="str">
        <f>IF('Ground-Truth'!C5&lt;&gt;"Ja","-",IFERROR(H109/I109*100,"-"))</f>
        <v>-</v>
      </c>
      <c r="H109" s="2" t="str">
        <f>IF('Ground-Truth'!C5&lt;&gt;"Ja","-",SUMIFS('Benchmark-Runs'!$S$2:$S$161,'Benchmark-Runs'!$C$2:$C$161,E109,'Benchmark-Runs'!$B$2:$B$161,F109))</f>
        <v>-</v>
      </c>
      <c r="I109" s="4" t="str">
        <f>IF('Ground-Truth'!C5&lt;&gt;"Ja","-",COUNTIFS('Benchmark-Runs'!$C$2:$C$161,E109,'Benchmark-Runs'!$B$2:$B$161,F109))</f>
        <v>-</v>
      </c>
    </row>
    <row r="110" spans="1:9" x14ac:dyDescent="0.25">
      <c r="A110" s="3">
        <v>4</v>
      </c>
      <c r="B110" s="2" t="str">
        <f>'Ground-Truth'!B5</f>
        <v>Schottertrag</v>
      </c>
      <c r="C110" s="2" t="str">
        <f>IF('Ground-Truth'!C5="Ja","✓ Ausgewertet","⊘ Ausgeschlossen")</f>
        <v>⊘ Ausgeschlossen</v>
      </c>
      <c r="D110" s="2">
        <f>'Ground-Truth'!D5</f>
        <v>0</v>
      </c>
      <c r="E110" s="2" t="s">
        <v>49</v>
      </c>
      <c r="F110" s="2" t="s">
        <v>48</v>
      </c>
      <c r="G110" s="2" t="str">
        <f>IF('Ground-Truth'!C5&lt;&gt;"Ja","-",IFERROR(H110/I110*100,"-"))</f>
        <v>-</v>
      </c>
      <c r="H110" s="2" t="str">
        <f>IF('Ground-Truth'!C5&lt;&gt;"Ja","-",SUMIFS('Benchmark-Runs'!$S$2:$S$161,'Benchmark-Runs'!$C$2:$C$161,E110,'Benchmark-Runs'!$B$2:$B$161,F110))</f>
        <v>-</v>
      </c>
      <c r="I110" s="4" t="str">
        <f>IF('Ground-Truth'!C5&lt;&gt;"Ja","-",COUNTIFS('Benchmark-Runs'!$C$2:$C$161,E110,'Benchmark-Runs'!$B$2:$B$161,F110))</f>
        <v>-</v>
      </c>
    </row>
    <row r="111" spans="1:9" x14ac:dyDescent="0.25">
      <c r="A111" s="3">
        <v>4</v>
      </c>
      <c r="B111" s="2" t="str">
        <f>'Ground-Truth'!B5</f>
        <v>Schottertrag</v>
      </c>
      <c r="C111" s="2" t="str">
        <f>IF('Ground-Truth'!C5="Ja","✓ Ausgewertet","⊘ Ausgeschlossen")</f>
        <v>⊘ Ausgeschlossen</v>
      </c>
      <c r="D111" s="2">
        <f>'Ground-Truth'!D5</f>
        <v>0</v>
      </c>
      <c r="E111" s="2" t="s">
        <v>49</v>
      </c>
      <c r="F111" s="2" t="s">
        <v>56</v>
      </c>
      <c r="G111" s="2" t="str">
        <f>IF('Ground-Truth'!C5&lt;&gt;"Ja","-",IFERROR(H111/I111*100,"-"))</f>
        <v>-</v>
      </c>
      <c r="H111" s="2" t="str">
        <f>IF('Ground-Truth'!C5&lt;&gt;"Ja","-",SUMIFS('Benchmark-Runs'!$S$2:$S$161,'Benchmark-Runs'!$C$2:$C$161,E111,'Benchmark-Runs'!$B$2:$B$161,F111))</f>
        <v>-</v>
      </c>
      <c r="I111" s="4" t="str">
        <f>IF('Ground-Truth'!C5&lt;&gt;"Ja","-",COUNTIFS('Benchmark-Runs'!$C$2:$C$161,E111,'Benchmark-Runs'!$B$2:$B$161,F111))</f>
        <v>-</v>
      </c>
    </row>
    <row r="112" spans="1:9" x14ac:dyDescent="0.25">
      <c r="A112" s="3">
        <v>4</v>
      </c>
      <c r="B112" s="2" t="str">
        <f>'Ground-Truth'!B5</f>
        <v>Schottertrag</v>
      </c>
      <c r="C112" s="2" t="str">
        <f>IF('Ground-Truth'!C5="Ja","✓ Ausgewertet","⊘ Ausgeschlossen")</f>
        <v>⊘ Ausgeschlossen</v>
      </c>
      <c r="D112" s="2">
        <f>'Ground-Truth'!D5</f>
        <v>0</v>
      </c>
      <c r="E112" s="2" t="s">
        <v>49</v>
      </c>
      <c r="F112" s="2" t="s">
        <v>57</v>
      </c>
      <c r="G112" s="2" t="str">
        <f>IF('Ground-Truth'!C5&lt;&gt;"Ja","-",IFERROR(H112/I112*100,"-"))</f>
        <v>-</v>
      </c>
      <c r="H112" s="2" t="str">
        <f>IF('Ground-Truth'!C5&lt;&gt;"Ja","-",SUMIFS('Benchmark-Runs'!$S$2:$S$161,'Benchmark-Runs'!$C$2:$C$161,E112,'Benchmark-Runs'!$B$2:$B$161,F112))</f>
        <v>-</v>
      </c>
      <c r="I112" s="4" t="str">
        <f>IF('Ground-Truth'!C5&lt;&gt;"Ja","-",COUNTIFS('Benchmark-Runs'!$C$2:$C$161,E112,'Benchmark-Runs'!$B$2:$B$161,F112))</f>
        <v>-</v>
      </c>
    </row>
    <row r="113" spans="1:9" ht="30" x14ac:dyDescent="0.25">
      <c r="A113" s="3">
        <v>4</v>
      </c>
      <c r="B113" s="2" t="str">
        <f>'Ground-Truth'!B5</f>
        <v>Schottertrag</v>
      </c>
      <c r="C113" s="2" t="str">
        <f>IF('Ground-Truth'!C5="Ja","✓ Ausgewertet","⊘ Ausgeschlossen")</f>
        <v>⊘ Ausgeschlossen</v>
      </c>
      <c r="D113" s="2">
        <f>'Ground-Truth'!D5</f>
        <v>0</v>
      </c>
      <c r="E113" s="2" t="s">
        <v>49</v>
      </c>
      <c r="F113" s="2" t="s">
        <v>58</v>
      </c>
      <c r="G113" s="2" t="str">
        <f>IF('Ground-Truth'!C5&lt;&gt;"Ja","-",IFERROR(H113/I113*100,"-"))</f>
        <v>-</v>
      </c>
      <c r="H113" s="2" t="str">
        <f>IF('Ground-Truth'!C5&lt;&gt;"Ja","-",SUMIFS('Benchmark-Runs'!$S$2:$S$161,'Benchmark-Runs'!$C$2:$C$161,E113,'Benchmark-Runs'!$B$2:$B$161,F113))</f>
        <v>-</v>
      </c>
      <c r="I113" s="4" t="str">
        <f>IF('Ground-Truth'!C5&lt;&gt;"Ja","-",COUNTIFS('Benchmark-Runs'!$C$2:$C$161,E113,'Benchmark-Runs'!$B$2:$B$161,F113))</f>
        <v>-</v>
      </c>
    </row>
    <row r="114" spans="1:9" x14ac:dyDescent="0.25">
      <c r="A114" s="3">
        <v>4</v>
      </c>
      <c r="B114" s="2" t="str">
        <f>'Ground-Truth'!B5</f>
        <v>Schottertrag</v>
      </c>
      <c r="C114" s="2" t="str">
        <f>IF('Ground-Truth'!C5="Ja","✓ Ausgewertet","⊘ Ausgeschlossen")</f>
        <v>⊘ Ausgeschlossen</v>
      </c>
      <c r="D114" s="2">
        <f>'Ground-Truth'!D5</f>
        <v>0</v>
      </c>
      <c r="E114" s="2" t="s">
        <v>52</v>
      </c>
      <c r="F114" s="2" t="s">
        <v>41</v>
      </c>
      <c r="G114" s="2" t="str">
        <f>IF('Ground-Truth'!C5&lt;&gt;"Ja","-",IFERROR(H114/I114*100,"-"))</f>
        <v>-</v>
      </c>
      <c r="H114" s="2" t="str">
        <f>IF('Ground-Truth'!C5&lt;&gt;"Ja","-",SUMIFS('Benchmark-Runs'!$S$2:$S$161,'Benchmark-Runs'!$C$2:$C$161,E114,'Benchmark-Runs'!$B$2:$B$161,F114))</f>
        <v>-</v>
      </c>
      <c r="I114" s="4" t="str">
        <f>IF('Ground-Truth'!C5&lt;&gt;"Ja","-",COUNTIFS('Benchmark-Runs'!$C$2:$C$161,E114,'Benchmark-Runs'!$B$2:$B$161,F114))</f>
        <v>-</v>
      </c>
    </row>
    <row r="115" spans="1:9" x14ac:dyDescent="0.25">
      <c r="A115" s="3">
        <v>4</v>
      </c>
      <c r="B115" s="2" t="str">
        <f>'Ground-Truth'!B5</f>
        <v>Schottertrag</v>
      </c>
      <c r="C115" s="2" t="str">
        <f>IF('Ground-Truth'!C5="Ja","✓ Ausgewertet","⊘ Ausgeschlossen")</f>
        <v>⊘ Ausgeschlossen</v>
      </c>
      <c r="D115" s="2">
        <f>'Ground-Truth'!D5</f>
        <v>0</v>
      </c>
      <c r="E115" s="2" t="s">
        <v>52</v>
      </c>
      <c r="F115" s="2" t="s">
        <v>44</v>
      </c>
      <c r="G115" s="2" t="str">
        <f>IF('Ground-Truth'!C5&lt;&gt;"Ja","-",IFERROR(H115/I115*100,"-"))</f>
        <v>-</v>
      </c>
      <c r="H115" s="2" t="str">
        <f>IF('Ground-Truth'!C5&lt;&gt;"Ja","-",SUMIFS('Benchmark-Runs'!$S$2:$S$161,'Benchmark-Runs'!$C$2:$C$161,E115,'Benchmark-Runs'!$B$2:$B$161,F115))</f>
        <v>-</v>
      </c>
      <c r="I115" s="4" t="str">
        <f>IF('Ground-Truth'!C5&lt;&gt;"Ja","-",COUNTIFS('Benchmark-Runs'!$C$2:$C$161,E115,'Benchmark-Runs'!$B$2:$B$161,F115))</f>
        <v>-</v>
      </c>
    </row>
    <row r="116" spans="1:9" x14ac:dyDescent="0.25">
      <c r="A116" s="3">
        <v>4</v>
      </c>
      <c r="B116" s="2" t="str">
        <f>'Ground-Truth'!B5</f>
        <v>Schottertrag</v>
      </c>
      <c r="C116" s="2" t="str">
        <f>IF('Ground-Truth'!C5="Ja","✓ Ausgewertet","⊘ Ausgeschlossen")</f>
        <v>⊘ Ausgeschlossen</v>
      </c>
      <c r="D116" s="2">
        <f>'Ground-Truth'!D5</f>
        <v>0</v>
      </c>
      <c r="E116" s="2" t="s">
        <v>52</v>
      </c>
      <c r="F116" s="2" t="s">
        <v>46</v>
      </c>
      <c r="G116" s="2" t="str">
        <f>IF('Ground-Truth'!C5&lt;&gt;"Ja","-",IFERROR(H116/I116*100,"-"))</f>
        <v>-</v>
      </c>
      <c r="H116" s="2" t="str">
        <f>IF('Ground-Truth'!C5&lt;&gt;"Ja","-",SUMIFS('Benchmark-Runs'!$S$2:$S$161,'Benchmark-Runs'!$C$2:$C$161,E116,'Benchmark-Runs'!$B$2:$B$161,F116))</f>
        <v>-</v>
      </c>
      <c r="I116" s="4" t="str">
        <f>IF('Ground-Truth'!C5&lt;&gt;"Ja","-",COUNTIFS('Benchmark-Runs'!$C$2:$C$161,E116,'Benchmark-Runs'!$B$2:$B$161,F116))</f>
        <v>-</v>
      </c>
    </row>
    <row r="117" spans="1:9" x14ac:dyDescent="0.25">
      <c r="A117" s="3">
        <v>4</v>
      </c>
      <c r="B117" s="2" t="str">
        <f>'Ground-Truth'!B5</f>
        <v>Schottertrag</v>
      </c>
      <c r="C117" s="2" t="str">
        <f>IF('Ground-Truth'!C5="Ja","✓ Ausgewertet","⊘ Ausgeschlossen")</f>
        <v>⊘ Ausgeschlossen</v>
      </c>
      <c r="D117" s="2">
        <f>'Ground-Truth'!D5</f>
        <v>0</v>
      </c>
      <c r="E117" s="2" t="s">
        <v>52</v>
      </c>
      <c r="F117" s="2" t="s">
        <v>47</v>
      </c>
      <c r="G117" s="2" t="str">
        <f>IF('Ground-Truth'!C5&lt;&gt;"Ja","-",IFERROR(H117/I117*100,"-"))</f>
        <v>-</v>
      </c>
      <c r="H117" s="2" t="str">
        <f>IF('Ground-Truth'!C5&lt;&gt;"Ja","-",SUMIFS('Benchmark-Runs'!$S$2:$S$161,'Benchmark-Runs'!$C$2:$C$161,E117,'Benchmark-Runs'!$B$2:$B$161,F117))</f>
        <v>-</v>
      </c>
      <c r="I117" s="4" t="str">
        <f>IF('Ground-Truth'!C5&lt;&gt;"Ja","-",COUNTIFS('Benchmark-Runs'!$C$2:$C$161,E117,'Benchmark-Runs'!$B$2:$B$161,F117))</f>
        <v>-</v>
      </c>
    </row>
    <row r="118" spans="1:9" x14ac:dyDescent="0.25">
      <c r="A118" s="3">
        <v>4</v>
      </c>
      <c r="B118" s="2" t="str">
        <f>'Ground-Truth'!B5</f>
        <v>Schottertrag</v>
      </c>
      <c r="C118" s="2" t="str">
        <f>IF('Ground-Truth'!C5="Ja","✓ Ausgewertet","⊘ Ausgeschlossen")</f>
        <v>⊘ Ausgeschlossen</v>
      </c>
      <c r="D118" s="2">
        <f>'Ground-Truth'!D5</f>
        <v>0</v>
      </c>
      <c r="E118" s="2" t="s">
        <v>52</v>
      </c>
      <c r="F118" s="2" t="s">
        <v>48</v>
      </c>
      <c r="G118" s="2" t="str">
        <f>IF('Ground-Truth'!C5&lt;&gt;"Ja","-",IFERROR(H118/I118*100,"-"))</f>
        <v>-</v>
      </c>
      <c r="H118" s="2" t="str">
        <f>IF('Ground-Truth'!C5&lt;&gt;"Ja","-",SUMIFS('Benchmark-Runs'!$S$2:$S$161,'Benchmark-Runs'!$C$2:$C$161,E118,'Benchmark-Runs'!$B$2:$B$161,F118))</f>
        <v>-</v>
      </c>
      <c r="I118" s="4" t="str">
        <f>IF('Ground-Truth'!C5&lt;&gt;"Ja","-",COUNTIFS('Benchmark-Runs'!$C$2:$C$161,E118,'Benchmark-Runs'!$B$2:$B$161,F118))</f>
        <v>-</v>
      </c>
    </row>
    <row r="119" spans="1:9" x14ac:dyDescent="0.25">
      <c r="A119" s="3">
        <v>4</v>
      </c>
      <c r="B119" s="2" t="str">
        <f>'Ground-Truth'!B5</f>
        <v>Schottertrag</v>
      </c>
      <c r="C119" s="2" t="str">
        <f>IF('Ground-Truth'!C5="Ja","✓ Ausgewertet","⊘ Ausgeschlossen")</f>
        <v>⊘ Ausgeschlossen</v>
      </c>
      <c r="D119" s="2">
        <f>'Ground-Truth'!D5</f>
        <v>0</v>
      </c>
      <c r="E119" s="2" t="s">
        <v>52</v>
      </c>
      <c r="F119" s="2" t="s">
        <v>56</v>
      </c>
      <c r="G119" s="2" t="str">
        <f>IF('Ground-Truth'!C5&lt;&gt;"Ja","-",IFERROR(H119/I119*100,"-"))</f>
        <v>-</v>
      </c>
      <c r="H119" s="2" t="str">
        <f>IF('Ground-Truth'!C5&lt;&gt;"Ja","-",SUMIFS('Benchmark-Runs'!$S$2:$S$161,'Benchmark-Runs'!$C$2:$C$161,E119,'Benchmark-Runs'!$B$2:$B$161,F119))</f>
        <v>-</v>
      </c>
      <c r="I119" s="4" t="str">
        <f>IF('Ground-Truth'!C5&lt;&gt;"Ja","-",COUNTIFS('Benchmark-Runs'!$C$2:$C$161,E119,'Benchmark-Runs'!$B$2:$B$161,F119))</f>
        <v>-</v>
      </c>
    </row>
    <row r="120" spans="1:9" x14ac:dyDescent="0.25">
      <c r="A120" s="3">
        <v>4</v>
      </c>
      <c r="B120" s="2" t="str">
        <f>'Ground-Truth'!B5</f>
        <v>Schottertrag</v>
      </c>
      <c r="C120" s="2" t="str">
        <f>IF('Ground-Truth'!C5="Ja","✓ Ausgewertet","⊘ Ausgeschlossen")</f>
        <v>⊘ Ausgeschlossen</v>
      </c>
      <c r="D120" s="2">
        <f>'Ground-Truth'!D5</f>
        <v>0</v>
      </c>
      <c r="E120" s="2" t="s">
        <v>52</v>
      </c>
      <c r="F120" s="2" t="s">
        <v>57</v>
      </c>
      <c r="G120" s="2" t="str">
        <f>IF('Ground-Truth'!C5&lt;&gt;"Ja","-",IFERROR(H120/I120*100,"-"))</f>
        <v>-</v>
      </c>
      <c r="H120" s="2" t="str">
        <f>IF('Ground-Truth'!C5&lt;&gt;"Ja","-",SUMIFS('Benchmark-Runs'!$S$2:$S$161,'Benchmark-Runs'!$C$2:$C$161,E120,'Benchmark-Runs'!$B$2:$B$161,F120))</f>
        <v>-</v>
      </c>
      <c r="I120" s="4" t="str">
        <f>IF('Ground-Truth'!C5&lt;&gt;"Ja","-",COUNTIFS('Benchmark-Runs'!$C$2:$C$161,E120,'Benchmark-Runs'!$B$2:$B$161,F120))</f>
        <v>-</v>
      </c>
    </row>
    <row r="121" spans="1:9" ht="30" x14ac:dyDescent="0.25">
      <c r="A121" s="3">
        <v>4</v>
      </c>
      <c r="B121" s="2" t="str">
        <f>'Ground-Truth'!B5</f>
        <v>Schottertrag</v>
      </c>
      <c r="C121" s="2" t="str">
        <f>IF('Ground-Truth'!C5="Ja","✓ Ausgewertet","⊘ Ausgeschlossen")</f>
        <v>⊘ Ausgeschlossen</v>
      </c>
      <c r="D121" s="2">
        <f>'Ground-Truth'!D5</f>
        <v>0</v>
      </c>
      <c r="E121" s="2" t="s">
        <v>52</v>
      </c>
      <c r="F121" s="2" t="s">
        <v>58</v>
      </c>
      <c r="G121" s="2" t="str">
        <f>IF('Ground-Truth'!C5&lt;&gt;"Ja","-",IFERROR(H121/I121*100,"-"))</f>
        <v>-</v>
      </c>
      <c r="H121" s="2" t="str">
        <f>IF('Ground-Truth'!C5&lt;&gt;"Ja","-",SUMIFS('Benchmark-Runs'!$S$2:$S$161,'Benchmark-Runs'!$C$2:$C$161,E121,'Benchmark-Runs'!$B$2:$B$161,F121))</f>
        <v>-</v>
      </c>
      <c r="I121" s="4" t="str">
        <f>IF('Ground-Truth'!C5&lt;&gt;"Ja","-",COUNTIFS('Benchmark-Runs'!$C$2:$C$161,E121,'Benchmark-Runs'!$B$2:$B$161,F121))</f>
        <v>-</v>
      </c>
    </row>
    <row r="122" spans="1:9" x14ac:dyDescent="0.25">
      <c r="A122" s="3">
        <v>4</v>
      </c>
      <c r="B122" s="2" t="str">
        <f>'Ground-Truth'!B5</f>
        <v>Schottertrag</v>
      </c>
      <c r="C122" s="2" t="str">
        <f>IF('Ground-Truth'!C5="Ja","✓ Ausgewertet","⊘ Ausgeschlossen")</f>
        <v>⊘ Ausgeschlossen</v>
      </c>
      <c r="D122" s="2">
        <f>'Ground-Truth'!D5</f>
        <v>0</v>
      </c>
      <c r="E122" s="2" t="s">
        <v>53</v>
      </c>
      <c r="F122" s="2" t="s">
        <v>41</v>
      </c>
      <c r="G122" s="2" t="str">
        <f>IF('Ground-Truth'!C5&lt;&gt;"Ja","-",IFERROR(H122/I122*100,"-"))</f>
        <v>-</v>
      </c>
      <c r="H122" s="2" t="str">
        <f>IF('Ground-Truth'!C5&lt;&gt;"Ja","-",SUMIFS('Benchmark-Runs'!$S$2:$S$161,'Benchmark-Runs'!$C$2:$C$161,E122,'Benchmark-Runs'!$B$2:$B$161,F122))</f>
        <v>-</v>
      </c>
      <c r="I122" s="4" t="str">
        <f>IF('Ground-Truth'!C5&lt;&gt;"Ja","-",COUNTIFS('Benchmark-Runs'!$C$2:$C$161,E122,'Benchmark-Runs'!$B$2:$B$161,F122))</f>
        <v>-</v>
      </c>
    </row>
    <row r="123" spans="1:9" x14ac:dyDescent="0.25">
      <c r="A123" s="3">
        <v>4</v>
      </c>
      <c r="B123" s="2" t="str">
        <f>'Ground-Truth'!B5</f>
        <v>Schottertrag</v>
      </c>
      <c r="C123" s="2" t="str">
        <f>IF('Ground-Truth'!C5="Ja","✓ Ausgewertet","⊘ Ausgeschlossen")</f>
        <v>⊘ Ausgeschlossen</v>
      </c>
      <c r="D123" s="2">
        <f>'Ground-Truth'!D5</f>
        <v>0</v>
      </c>
      <c r="E123" s="2" t="s">
        <v>53</v>
      </c>
      <c r="F123" s="2" t="s">
        <v>44</v>
      </c>
      <c r="G123" s="2" t="str">
        <f>IF('Ground-Truth'!C5&lt;&gt;"Ja","-",IFERROR(H123/I123*100,"-"))</f>
        <v>-</v>
      </c>
      <c r="H123" s="2" t="str">
        <f>IF('Ground-Truth'!C5&lt;&gt;"Ja","-",SUMIFS('Benchmark-Runs'!$S$2:$S$161,'Benchmark-Runs'!$C$2:$C$161,E123,'Benchmark-Runs'!$B$2:$B$161,F123))</f>
        <v>-</v>
      </c>
      <c r="I123" s="4" t="str">
        <f>IF('Ground-Truth'!C5&lt;&gt;"Ja","-",COUNTIFS('Benchmark-Runs'!$C$2:$C$161,E123,'Benchmark-Runs'!$B$2:$B$161,F123))</f>
        <v>-</v>
      </c>
    </row>
    <row r="124" spans="1:9" x14ac:dyDescent="0.25">
      <c r="A124" s="3">
        <v>4</v>
      </c>
      <c r="B124" s="2" t="str">
        <f>'Ground-Truth'!B5</f>
        <v>Schottertrag</v>
      </c>
      <c r="C124" s="2" t="str">
        <f>IF('Ground-Truth'!C5="Ja","✓ Ausgewertet","⊘ Ausgeschlossen")</f>
        <v>⊘ Ausgeschlossen</v>
      </c>
      <c r="D124" s="2">
        <f>'Ground-Truth'!D5</f>
        <v>0</v>
      </c>
      <c r="E124" s="2" t="s">
        <v>53</v>
      </c>
      <c r="F124" s="2" t="s">
        <v>46</v>
      </c>
      <c r="G124" s="2" t="str">
        <f>IF('Ground-Truth'!C5&lt;&gt;"Ja","-",IFERROR(H124/I124*100,"-"))</f>
        <v>-</v>
      </c>
      <c r="H124" s="2" t="str">
        <f>IF('Ground-Truth'!C5&lt;&gt;"Ja","-",SUMIFS('Benchmark-Runs'!$S$2:$S$161,'Benchmark-Runs'!$C$2:$C$161,E124,'Benchmark-Runs'!$B$2:$B$161,F124))</f>
        <v>-</v>
      </c>
      <c r="I124" s="4" t="str">
        <f>IF('Ground-Truth'!C5&lt;&gt;"Ja","-",COUNTIFS('Benchmark-Runs'!$C$2:$C$161,E124,'Benchmark-Runs'!$B$2:$B$161,F124))</f>
        <v>-</v>
      </c>
    </row>
    <row r="125" spans="1:9" x14ac:dyDescent="0.25">
      <c r="A125" s="3">
        <v>4</v>
      </c>
      <c r="B125" s="2" t="str">
        <f>'Ground-Truth'!B5</f>
        <v>Schottertrag</v>
      </c>
      <c r="C125" s="2" t="str">
        <f>IF('Ground-Truth'!C5="Ja","✓ Ausgewertet","⊘ Ausgeschlossen")</f>
        <v>⊘ Ausgeschlossen</v>
      </c>
      <c r="D125" s="2">
        <f>'Ground-Truth'!D5</f>
        <v>0</v>
      </c>
      <c r="E125" s="2" t="s">
        <v>53</v>
      </c>
      <c r="F125" s="2" t="s">
        <v>47</v>
      </c>
      <c r="G125" s="2" t="str">
        <f>IF('Ground-Truth'!C5&lt;&gt;"Ja","-",IFERROR(H125/I125*100,"-"))</f>
        <v>-</v>
      </c>
      <c r="H125" s="2" t="str">
        <f>IF('Ground-Truth'!C5&lt;&gt;"Ja","-",SUMIFS('Benchmark-Runs'!$S$2:$S$161,'Benchmark-Runs'!$C$2:$C$161,E125,'Benchmark-Runs'!$B$2:$B$161,F125))</f>
        <v>-</v>
      </c>
      <c r="I125" s="4" t="str">
        <f>IF('Ground-Truth'!C5&lt;&gt;"Ja","-",COUNTIFS('Benchmark-Runs'!$C$2:$C$161,E125,'Benchmark-Runs'!$B$2:$B$161,F125))</f>
        <v>-</v>
      </c>
    </row>
    <row r="126" spans="1:9" x14ac:dyDescent="0.25">
      <c r="A126" s="3">
        <v>4</v>
      </c>
      <c r="B126" s="2" t="str">
        <f>'Ground-Truth'!B5</f>
        <v>Schottertrag</v>
      </c>
      <c r="C126" s="2" t="str">
        <f>IF('Ground-Truth'!C5="Ja","✓ Ausgewertet","⊘ Ausgeschlossen")</f>
        <v>⊘ Ausgeschlossen</v>
      </c>
      <c r="D126" s="2">
        <f>'Ground-Truth'!D5</f>
        <v>0</v>
      </c>
      <c r="E126" s="2" t="s">
        <v>53</v>
      </c>
      <c r="F126" s="2" t="s">
        <v>48</v>
      </c>
      <c r="G126" s="2" t="str">
        <f>IF('Ground-Truth'!C5&lt;&gt;"Ja","-",IFERROR(H126/I126*100,"-"))</f>
        <v>-</v>
      </c>
      <c r="H126" s="2" t="str">
        <f>IF('Ground-Truth'!C5&lt;&gt;"Ja","-",SUMIFS('Benchmark-Runs'!$S$2:$S$161,'Benchmark-Runs'!$C$2:$C$161,E126,'Benchmark-Runs'!$B$2:$B$161,F126))</f>
        <v>-</v>
      </c>
      <c r="I126" s="4" t="str">
        <f>IF('Ground-Truth'!C5&lt;&gt;"Ja","-",COUNTIFS('Benchmark-Runs'!$C$2:$C$161,E126,'Benchmark-Runs'!$B$2:$B$161,F126))</f>
        <v>-</v>
      </c>
    </row>
    <row r="127" spans="1:9" x14ac:dyDescent="0.25">
      <c r="A127" s="3">
        <v>4</v>
      </c>
      <c r="B127" s="2" t="str">
        <f>'Ground-Truth'!B5</f>
        <v>Schottertrag</v>
      </c>
      <c r="C127" s="2" t="str">
        <f>IF('Ground-Truth'!C5="Ja","✓ Ausgewertet","⊘ Ausgeschlossen")</f>
        <v>⊘ Ausgeschlossen</v>
      </c>
      <c r="D127" s="2">
        <f>'Ground-Truth'!D5</f>
        <v>0</v>
      </c>
      <c r="E127" s="2" t="s">
        <v>53</v>
      </c>
      <c r="F127" s="2" t="s">
        <v>56</v>
      </c>
      <c r="G127" s="2" t="str">
        <f>IF('Ground-Truth'!C5&lt;&gt;"Ja","-",IFERROR(H127/I127*100,"-"))</f>
        <v>-</v>
      </c>
      <c r="H127" s="2" t="str">
        <f>IF('Ground-Truth'!C5&lt;&gt;"Ja","-",SUMIFS('Benchmark-Runs'!$S$2:$S$161,'Benchmark-Runs'!$C$2:$C$161,E127,'Benchmark-Runs'!$B$2:$B$161,F127))</f>
        <v>-</v>
      </c>
      <c r="I127" s="4" t="str">
        <f>IF('Ground-Truth'!C5&lt;&gt;"Ja","-",COUNTIFS('Benchmark-Runs'!$C$2:$C$161,E127,'Benchmark-Runs'!$B$2:$B$161,F127))</f>
        <v>-</v>
      </c>
    </row>
    <row r="128" spans="1:9" x14ac:dyDescent="0.25">
      <c r="A128" s="3">
        <v>4</v>
      </c>
      <c r="B128" s="2" t="str">
        <f>'Ground-Truth'!B5</f>
        <v>Schottertrag</v>
      </c>
      <c r="C128" s="2" t="str">
        <f>IF('Ground-Truth'!C5="Ja","✓ Ausgewertet","⊘ Ausgeschlossen")</f>
        <v>⊘ Ausgeschlossen</v>
      </c>
      <c r="D128" s="2">
        <f>'Ground-Truth'!D5</f>
        <v>0</v>
      </c>
      <c r="E128" s="2" t="s">
        <v>53</v>
      </c>
      <c r="F128" s="2" t="s">
        <v>57</v>
      </c>
      <c r="G128" s="2" t="str">
        <f>IF('Ground-Truth'!C5&lt;&gt;"Ja","-",IFERROR(H128/I128*100,"-"))</f>
        <v>-</v>
      </c>
      <c r="H128" s="2" t="str">
        <f>IF('Ground-Truth'!C5&lt;&gt;"Ja","-",SUMIFS('Benchmark-Runs'!$S$2:$S$161,'Benchmark-Runs'!$C$2:$C$161,E128,'Benchmark-Runs'!$B$2:$B$161,F128))</f>
        <v>-</v>
      </c>
      <c r="I128" s="4" t="str">
        <f>IF('Ground-Truth'!C5&lt;&gt;"Ja","-",COUNTIFS('Benchmark-Runs'!$C$2:$C$161,E128,'Benchmark-Runs'!$B$2:$B$161,F128))</f>
        <v>-</v>
      </c>
    </row>
    <row r="129" spans="1:9" ht="30" x14ac:dyDescent="0.25">
      <c r="A129" s="3">
        <v>4</v>
      </c>
      <c r="B129" s="2" t="str">
        <f>'Ground-Truth'!B5</f>
        <v>Schottertrag</v>
      </c>
      <c r="C129" s="2" t="str">
        <f>IF('Ground-Truth'!C5="Ja","✓ Ausgewertet","⊘ Ausgeschlossen")</f>
        <v>⊘ Ausgeschlossen</v>
      </c>
      <c r="D129" s="2">
        <f>'Ground-Truth'!D5</f>
        <v>0</v>
      </c>
      <c r="E129" s="2" t="s">
        <v>53</v>
      </c>
      <c r="F129" s="2" t="s">
        <v>58</v>
      </c>
      <c r="G129" s="2" t="str">
        <f>IF('Ground-Truth'!C5&lt;&gt;"Ja","-",IFERROR(H129/I129*100,"-"))</f>
        <v>-</v>
      </c>
      <c r="H129" s="2" t="str">
        <f>IF('Ground-Truth'!C5&lt;&gt;"Ja","-",SUMIFS('Benchmark-Runs'!$S$2:$S$161,'Benchmark-Runs'!$C$2:$C$161,E129,'Benchmark-Runs'!$B$2:$B$161,F129))</f>
        <v>-</v>
      </c>
      <c r="I129" s="4" t="str">
        <f>IF('Ground-Truth'!C5&lt;&gt;"Ja","-",COUNTIFS('Benchmark-Runs'!$C$2:$C$161,E129,'Benchmark-Runs'!$B$2:$B$161,F129))</f>
        <v>-</v>
      </c>
    </row>
    <row r="130" spans="1:9" x14ac:dyDescent="0.25">
      <c r="A130" s="3">
        <v>5</v>
      </c>
      <c r="B130" s="2" t="str">
        <f>'Ground-Truth'!B6</f>
        <v>Frostschutzschicht</v>
      </c>
      <c r="C130" s="2" t="str">
        <f>IF('Ground-Truth'!C6="Ja","✓ Ausgewertet","⊘ Ausgeschlossen")</f>
        <v>⊘ Ausgeschlossen</v>
      </c>
      <c r="D130" s="2">
        <f>'Ground-Truth'!D6</f>
        <v>0</v>
      </c>
      <c r="E130" s="2" t="s">
        <v>42</v>
      </c>
      <c r="F130" s="2" t="s">
        <v>41</v>
      </c>
      <c r="G130" s="2" t="str">
        <f>IF('Ground-Truth'!C6&lt;&gt;"Ja","-",IFERROR(H130/I130*100,"-"))</f>
        <v>-</v>
      </c>
      <c r="H130" s="2" t="str">
        <f>IF('Ground-Truth'!C6&lt;&gt;"Ja","-",SUMIFS('Benchmark-Runs'!$T$2:$T$161,'Benchmark-Runs'!$C$2:$C$161,E130,'Benchmark-Runs'!$B$2:$B$161,F130))</f>
        <v>-</v>
      </c>
      <c r="I130" s="4" t="str">
        <f>IF('Ground-Truth'!C6&lt;&gt;"Ja","-",COUNTIFS('Benchmark-Runs'!$C$2:$C$161,E130,'Benchmark-Runs'!$B$2:$B$161,F130))</f>
        <v>-</v>
      </c>
    </row>
    <row r="131" spans="1:9" x14ac:dyDescent="0.25">
      <c r="A131" s="3">
        <v>5</v>
      </c>
      <c r="B131" s="2" t="str">
        <f>'Ground-Truth'!B6</f>
        <v>Frostschutzschicht</v>
      </c>
      <c r="C131" s="2" t="str">
        <f>IF('Ground-Truth'!C6="Ja","✓ Ausgewertet","⊘ Ausgeschlossen")</f>
        <v>⊘ Ausgeschlossen</v>
      </c>
      <c r="D131" s="2">
        <f>'Ground-Truth'!D6</f>
        <v>0</v>
      </c>
      <c r="E131" s="2" t="s">
        <v>42</v>
      </c>
      <c r="F131" s="2" t="s">
        <v>44</v>
      </c>
      <c r="G131" s="2" t="str">
        <f>IF('Ground-Truth'!C6&lt;&gt;"Ja","-",IFERROR(H131/I131*100,"-"))</f>
        <v>-</v>
      </c>
      <c r="H131" s="2" t="str">
        <f>IF('Ground-Truth'!C6&lt;&gt;"Ja","-",SUMIFS('Benchmark-Runs'!$T$2:$T$161,'Benchmark-Runs'!$C$2:$C$161,E131,'Benchmark-Runs'!$B$2:$B$161,F131))</f>
        <v>-</v>
      </c>
      <c r="I131" s="4" t="str">
        <f>IF('Ground-Truth'!C6&lt;&gt;"Ja","-",COUNTIFS('Benchmark-Runs'!$C$2:$C$161,E131,'Benchmark-Runs'!$B$2:$B$161,F131))</f>
        <v>-</v>
      </c>
    </row>
    <row r="132" spans="1:9" x14ac:dyDescent="0.25">
      <c r="A132" s="3">
        <v>5</v>
      </c>
      <c r="B132" s="2" t="str">
        <f>'Ground-Truth'!B6</f>
        <v>Frostschutzschicht</v>
      </c>
      <c r="C132" s="2" t="str">
        <f>IF('Ground-Truth'!C6="Ja","✓ Ausgewertet","⊘ Ausgeschlossen")</f>
        <v>⊘ Ausgeschlossen</v>
      </c>
      <c r="D132" s="2">
        <f>'Ground-Truth'!D6</f>
        <v>0</v>
      </c>
      <c r="E132" s="2" t="s">
        <v>42</v>
      </c>
      <c r="F132" s="2" t="s">
        <v>46</v>
      </c>
      <c r="G132" s="2" t="str">
        <f>IF('Ground-Truth'!C6&lt;&gt;"Ja","-",IFERROR(H132/I132*100,"-"))</f>
        <v>-</v>
      </c>
      <c r="H132" s="2" t="str">
        <f>IF('Ground-Truth'!C6&lt;&gt;"Ja","-",SUMIFS('Benchmark-Runs'!$T$2:$T$161,'Benchmark-Runs'!$C$2:$C$161,E132,'Benchmark-Runs'!$B$2:$B$161,F132))</f>
        <v>-</v>
      </c>
      <c r="I132" s="4" t="str">
        <f>IF('Ground-Truth'!C6&lt;&gt;"Ja","-",COUNTIFS('Benchmark-Runs'!$C$2:$C$161,E132,'Benchmark-Runs'!$B$2:$B$161,F132))</f>
        <v>-</v>
      </c>
    </row>
    <row r="133" spans="1:9" x14ac:dyDescent="0.25">
      <c r="A133" s="3">
        <v>5</v>
      </c>
      <c r="B133" s="2" t="str">
        <f>'Ground-Truth'!B6</f>
        <v>Frostschutzschicht</v>
      </c>
      <c r="C133" s="2" t="str">
        <f>IF('Ground-Truth'!C6="Ja","✓ Ausgewertet","⊘ Ausgeschlossen")</f>
        <v>⊘ Ausgeschlossen</v>
      </c>
      <c r="D133" s="2">
        <f>'Ground-Truth'!D6</f>
        <v>0</v>
      </c>
      <c r="E133" s="2" t="s">
        <v>42</v>
      </c>
      <c r="F133" s="2" t="s">
        <v>47</v>
      </c>
      <c r="G133" s="2" t="str">
        <f>IF('Ground-Truth'!C6&lt;&gt;"Ja","-",IFERROR(H133/I133*100,"-"))</f>
        <v>-</v>
      </c>
      <c r="H133" s="2" t="str">
        <f>IF('Ground-Truth'!C6&lt;&gt;"Ja","-",SUMIFS('Benchmark-Runs'!$T$2:$T$161,'Benchmark-Runs'!$C$2:$C$161,E133,'Benchmark-Runs'!$B$2:$B$161,F133))</f>
        <v>-</v>
      </c>
      <c r="I133" s="4" t="str">
        <f>IF('Ground-Truth'!C6&lt;&gt;"Ja","-",COUNTIFS('Benchmark-Runs'!$C$2:$C$161,E133,'Benchmark-Runs'!$B$2:$B$161,F133))</f>
        <v>-</v>
      </c>
    </row>
    <row r="134" spans="1:9" x14ac:dyDescent="0.25">
      <c r="A134" s="3">
        <v>5</v>
      </c>
      <c r="B134" s="2" t="str">
        <f>'Ground-Truth'!B6</f>
        <v>Frostschutzschicht</v>
      </c>
      <c r="C134" s="2" t="str">
        <f>IF('Ground-Truth'!C6="Ja","✓ Ausgewertet","⊘ Ausgeschlossen")</f>
        <v>⊘ Ausgeschlossen</v>
      </c>
      <c r="D134" s="2">
        <f>'Ground-Truth'!D6</f>
        <v>0</v>
      </c>
      <c r="E134" s="2" t="s">
        <v>42</v>
      </c>
      <c r="F134" s="2" t="s">
        <v>48</v>
      </c>
      <c r="G134" s="2" t="str">
        <f>IF('Ground-Truth'!C6&lt;&gt;"Ja","-",IFERROR(H134/I134*100,"-"))</f>
        <v>-</v>
      </c>
      <c r="H134" s="2" t="str">
        <f>IF('Ground-Truth'!C6&lt;&gt;"Ja","-",SUMIFS('Benchmark-Runs'!$T$2:$T$161,'Benchmark-Runs'!$C$2:$C$161,E134,'Benchmark-Runs'!$B$2:$B$161,F134))</f>
        <v>-</v>
      </c>
      <c r="I134" s="4" t="str">
        <f>IF('Ground-Truth'!C6&lt;&gt;"Ja","-",COUNTIFS('Benchmark-Runs'!$C$2:$C$161,E134,'Benchmark-Runs'!$B$2:$B$161,F134))</f>
        <v>-</v>
      </c>
    </row>
    <row r="135" spans="1:9" x14ac:dyDescent="0.25">
      <c r="A135" s="3">
        <v>5</v>
      </c>
      <c r="B135" s="2" t="str">
        <f>'Ground-Truth'!B6</f>
        <v>Frostschutzschicht</v>
      </c>
      <c r="C135" s="2" t="str">
        <f>IF('Ground-Truth'!C6="Ja","✓ Ausgewertet","⊘ Ausgeschlossen")</f>
        <v>⊘ Ausgeschlossen</v>
      </c>
      <c r="D135" s="2">
        <f>'Ground-Truth'!D6</f>
        <v>0</v>
      </c>
      <c r="E135" s="2" t="s">
        <v>42</v>
      </c>
      <c r="F135" s="2" t="s">
        <v>56</v>
      </c>
      <c r="G135" s="2" t="str">
        <f>IF('Ground-Truth'!C6&lt;&gt;"Ja","-",IFERROR(H135/I135*100,"-"))</f>
        <v>-</v>
      </c>
      <c r="H135" s="2" t="str">
        <f>IF('Ground-Truth'!C6&lt;&gt;"Ja","-",SUMIFS('Benchmark-Runs'!$T$2:$T$161,'Benchmark-Runs'!$C$2:$C$161,E135,'Benchmark-Runs'!$B$2:$B$161,F135))</f>
        <v>-</v>
      </c>
      <c r="I135" s="4" t="str">
        <f>IF('Ground-Truth'!C6&lt;&gt;"Ja","-",COUNTIFS('Benchmark-Runs'!$C$2:$C$161,E135,'Benchmark-Runs'!$B$2:$B$161,F135))</f>
        <v>-</v>
      </c>
    </row>
    <row r="136" spans="1:9" x14ac:dyDescent="0.25">
      <c r="A136" s="3">
        <v>5</v>
      </c>
      <c r="B136" s="2" t="str">
        <f>'Ground-Truth'!B6</f>
        <v>Frostschutzschicht</v>
      </c>
      <c r="C136" s="2" t="str">
        <f>IF('Ground-Truth'!C6="Ja","✓ Ausgewertet","⊘ Ausgeschlossen")</f>
        <v>⊘ Ausgeschlossen</v>
      </c>
      <c r="D136" s="2">
        <f>'Ground-Truth'!D6</f>
        <v>0</v>
      </c>
      <c r="E136" s="2" t="s">
        <v>42</v>
      </c>
      <c r="F136" s="2" t="s">
        <v>57</v>
      </c>
      <c r="G136" s="2" t="str">
        <f>IF('Ground-Truth'!C6&lt;&gt;"Ja","-",IFERROR(H136/I136*100,"-"))</f>
        <v>-</v>
      </c>
      <c r="H136" s="2" t="str">
        <f>IF('Ground-Truth'!C6&lt;&gt;"Ja","-",SUMIFS('Benchmark-Runs'!$T$2:$T$161,'Benchmark-Runs'!$C$2:$C$161,E136,'Benchmark-Runs'!$B$2:$B$161,F136))</f>
        <v>-</v>
      </c>
      <c r="I136" s="4" t="str">
        <f>IF('Ground-Truth'!C6&lt;&gt;"Ja","-",COUNTIFS('Benchmark-Runs'!$C$2:$C$161,E136,'Benchmark-Runs'!$B$2:$B$161,F136))</f>
        <v>-</v>
      </c>
    </row>
    <row r="137" spans="1:9" ht="30" x14ac:dyDescent="0.25">
      <c r="A137" s="3">
        <v>5</v>
      </c>
      <c r="B137" s="2" t="str">
        <f>'Ground-Truth'!B6</f>
        <v>Frostschutzschicht</v>
      </c>
      <c r="C137" s="2" t="str">
        <f>IF('Ground-Truth'!C6="Ja","✓ Ausgewertet","⊘ Ausgeschlossen")</f>
        <v>⊘ Ausgeschlossen</v>
      </c>
      <c r="D137" s="2">
        <f>'Ground-Truth'!D6</f>
        <v>0</v>
      </c>
      <c r="E137" s="2" t="s">
        <v>42</v>
      </c>
      <c r="F137" s="2" t="s">
        <v>58</v>
      </c>
      <c r="G137" s="2" t="str">
        <f>IF('Ground-Truth'!C6&lt;&gt;"Ja","-",IFERROR(H137/I137*100,"-"))</f>
        <v>-</v>
      </c>
      <c r="H137" s="2" t="str">
        <f>IF('Ground-Truth'!C6&lt;&gt;"Ja","-",SUMIFS('Benchmark-Runs'!$T$2:$T$161,'Benchmark-Runs'!$C$2:$C$161,E137,'Benchmark-Runs'!$B$2:$B$161,F137))</f>
        <v>-</v>
      </c>
      <c r="I137" s="4" t="str">
        <f>IF('Ground-Truth'!C6&lt;&gt;"Ja","-",COUNTIFS('Benchmark-Runs'!$C$2:$C$161,E137,'Benchmark-Runs'!$B$2:$B$161,F137))</f>
        <v>-</v>
      </c>
    </row>
    <row r="138" spans="1:9" x14ac:dyDescent="0.25">
      <c r="A138" s="3">
        <v>5</v>
      </c>
      <c r="B138" s="2" t="str">
        <f>'Ground-Truth'!B6</f>
        <v>Frostschutzschicht</v>
      </c>
      <c r="C138" s="2" t="str">
        <f>IF('Ground-Truth'!C6="Ja","✓ Ausgewertet","⊘ Ausgeschlossen")</f>
        <v>⊘ Ausgeschlossen</v>
      </c>
      <c r="D138" s="2">
        <f>'Ground-Truth'!D6</f>
        <v>0</v>
      </c>
      <c r="E138" s="2" t="s">
        <v>49</v>
      </c>
      <c r="F138" s="2" t="s">
        <v>41</v>
      </c>
      <c r="G138" s="2" t="str">
        <f>IF('Ground-Truth'!C6&lt;&gt;"Ja","-",IFERROR(H138/I138*100,"-"))</f>
        <v>-</v>
      </c>
      <c r="H138" s="2" t="str">
        <f>IF('Ground-Truth'!C6&lt;&gt;"Ja","-",SUMIFS('Benchmark-Runs'!$T$2:$T$161,'Benchmark-Runs'!$C$2:$C$161,E138,'Benchmark-Runs'!$B$2:$B$161,F138))</f>
        <v>-</v>
      </c>
      <c r="I138" s="4" t="str">
        <f>IF('Ground-Truth'!C6&lt;&gt;"Ja","-",COUNTIFS('Benchmark-Runs'!$C$2:$C$161,E138,'Benchmark-Runs'!$B$2:$B$161,F138))</f>
        <v>-</v>
      </c>
    </row>
    <row r="139" spans="1:9" x14ac:dyDescent="0.25">
      <c r="A139" s="3">
        <v>5</v>
      </c>
      <c r="B139" s="2" t="str">
        <f>'Ground-Truth'!B6</f>
        <v>Frostschutzschicht</v>
      </c>
      <c r="C139" s="2" t="str">
        <f>IF('Ground-Truth'!C6="Ja","✓ Ausgewertet","⊘ Ausgeschlossen")</f>
        <v>⊘ Ausgeschlossen</v>
      </c>
      <c r="D139" s="2">
        <f>'Ground-Truth'!D6</f>
        <v>0</v>
      </c>
      <c r="E139" s="2" t="s">
        <v>49</v>
      </c>
      <c r="F139" s="2" t="s">
        <v>44</v>
      </c>
      <c r="G139" s="2" t="str">
        <f>IF('Ground-Truth'!C6&lt;&gt;"Ja","-",IFERROR(H139/I139*100,"-"))</f>
        <v>-</v>
      </c>
      <c r="H139" s="2" t="str">
        <f>IF('Ground-Truth'!C6&lt;&gt;"Ja","-",SUMIFS('Benchmark-Runs'!$T$2:$T$161,'Benchmark-Runs'!$C$2:$C$161,E139,'Benchmark-Runs'!$B$2:$B$161,F139))</f>
        <v>-</v>
      </c>
      <c r="I139" s="4" t="str">
        <f>IF('Ground-Truth'!C6&lt;&gt;"Ja","-",COUNTIFS('Benchmark-Runs'!$C$2:$C$161,E139,'Benchmark-Runs'!$B$2:$B$161,F139))</f>
        <v>-</v>
      </c>
    </row>
    <row r="140" spans="1:9" x14ac:dyDescent="0.25">
      <c r="A140" s="3">
        <v>5</v>
      </c>
      <c r="B140" s="2" t="str">
        <f>'Ground-Truth'!B6</f>
        <v>Frostschutzschicht</v>
      </c>
      <c r="C140" s="2" t="str">
        <f>IF('Ground-Truth'!C6="Ja","✓ Ausgewertet","⊘ Ausgeschlossen")</f>
        <v>⊘ Ausgeschlossen</v>
      </c>
      <c r="D140" s="2">
        <f>'Ground-Truth'!D6</f>
        <v>0</v>
      </c>
      <c r="E140" s="2" t="s">
        <v>49</v>
      </c>
      <c r="F140" s="2" t="s">
        <v>46</v>
      </c>
      <c r="G140" s="2" t="str">
        <f>IF('Ground-Truth'!C6&lt;&gt;"Ja","-",IFERROR(H140/I140*100,"-"))</f>
        <v>-</v>
      </c>
      <c r="H140" s="2" t="str">
        <f>IF('Ground-Truth'!C6&lt;&gt;"Ja","-",SUMIFS('Benchmark-Runs'!$T$2:$T$161,'Benchmark-Runs'!$C$2:$C$161,E140,'Benchmark-Runs'!$B$2:$B$161,F140))</f>
        <v>-</v>
      </c>
      <c r="I140" s="4" t="str">
        <f>IF('Ground-Truth'!C6&lt;&gt;"Ja","-",COUNTIFS('Benchmark-Runs'!$C$2:$C$161,E140,'Benchmark-Runs'!$B$2:$B$161,F140))</f>
        <v>-</v>
      </c>
    </row>
    <row r="141" spans="1:9" x14ac:dyDescent="0.25">
      <c r="A141" s="3">
        <v>5</v>
      </c>
      <c r="B141" s="2" t="str">
        <f>'Ground-Truth'!B6</f>
        <v>Frostschutzschicht</v>
      </c>
      <c r="C141" s="2" t="str">
        <f>IF('Ground-Truth'!C6="Ja","✓ Ausgewertet","⊘ Ausgeschlossen")</f>
        <v>⊘ Ausgeschlossen</v>
      </c>
      <c r="D141" s="2">
        <f>'Ground-Truth'!D6</f>
        <v>0</v>
      </c>
      <c r="E141" s="2" t="s">
        <v>49</v>
      </c>
      <c r="F141" s="2" t="s">
        <v>47</v>
      </c>
      <c r="G141" s="2" t="str">
        <f>IF('Ground-Truth'!C6&lt;&gt;"Ja","-",IFERROR(H141/I141*100,"-"))</f>
        <v>-</v>
      </c>
      <c r="H141" s="2" t="str">
        <f>IF('Ground-Truth'!C6&lt;&gt;"Ja","-",SUMIFS('Benchmark-Runs'!$T$2:$T$161,'Benchmark-Runs'!$C$2:$C$161,E141,'Benchmark-Runs'!$B$2:$B$161,F141))</f>
        <v>-</v>
      </c>
      <c r="I141" s="4" t="str">
        <f>IF('Ground-Truth'!C6&lt;&gt;"Ja","-",COUNTIFS('Benchmark-Runs'!$C$2:$C$161,E141,'Benchmark-Runs'!$B$2:$B$161,F141))</f>
        <v>-</v>
      </c>
    </row>
    <row r="142" spans="1:9" x14ac:dyDescent="0.25">
      <c r="A142" s="3">
        <v>5</v>
      </c>
      <c r="B142" s="2" t="str">
        <f>'Ground-Truth'!B6</f>
        <v>Frostschutzschicht</v>
      </c>
      <c r="C142" s="2" t="str">
        <f>IF('Ground-Truth'!C6="Ja","✓ Ausgewertet","⊘ Ausgeschlossen")</f>
        <v>⊘ Ausgeschlossen</v>
      </c>
      <c r="D142" s="2">
        <f>'Ground-Truth'!D6</f>
        <v>0</v>
      </c>
      <c r="E142" s="2" t="s">
        <v>49</v>
      </c>
      <c r="F142" s="2" t="s">
        <v>48</v>
      </c>
      <c r="G142" s="2" t="str">
        <f>IF('Ground-Truth'!C6&lt;&gt;"Ja","-",IFERROR(H142/I142*100,"-"))</f>
        <v>-</v>
      </c>
      <c r="H142" s="2" t="str">
        <f>IF('Ground-Truth'!C6&lt;&gt;"Ja","-",SUMIFS('Benchmark-Runs'!$T$2:$T$161,'Benchmark-Runs'!$C$2:$C$161,E142,'Benchmark-Runs'!$B$2:$B$161,F142))</f>
        <v>-</v>
      </c>
      <c r="I142" s="4" t="str">
        <f>IF('Ground-Truth'!C6&lt;&gt;"Ja","-",COUNTIFS('Benchmark-Runs'!$C$2:$C$161,E142,'Benchmark-Runs'!$B$2:$B$161,F142))</f>
        <v>-</v>
      </c>
    </row>
    <row r="143" spans="1:9" x14ac:dyDescent="0.25">
      <c r="A143" s="3">
        <v>5</v>
      </c>
      <c r="B143" s="2" t="str">
        <f>'Ground-Truth'!B6</f>
        <v>Frostschutzschicht</v>
      </c>
      <c r="C143" s="2" t="str">
        <f>IF('Ground-Truth'!C6="Ja","✓ Ausgewertet","⊘ Ausgeschlossen")</f>
        <v>⊘ Ausgeschlossen</v>
      </c>
      <c r="D143" s="2">
        <f>'Ground-Truth'!D6</f>
        <v>0</v>
      </c>
      <c r="E143" s="2" t="s">
        <v>49</v>
      </c>
      <c r="F143" s="2" t="s">
        <v>56</v>
      </c>
      <c r="G143" s="2" t="str">
        <f>IF('Ground-Truth'!C6&lt;&gt;"Ja","-",IFERROR(H143/I143*100,"-"))</f>
        <v>-</v>
      </c>
      <c r="H143" s="2" t="str">
        <f>IF('Ground-Truth'!C6&lt;&gt;"Ja","-",SUMIFS('Benchmark-Runs'!$T$2:$T$161,'Benchmark-Runs'!$C$2:$C$161,E143,'Benchmark-Runs'!$B$2:$B$161,F143))</f>
        <v>-</v>
      </c>
      <c r="I143" s="4" t="str">
        <f>IF('Ground-Truth'!C6&lt;&gt;"Ja","-",COUNTIFS('Benchmark-Runs'!$C$2:$C$161,E143,'Benchmark-Runs'!$B$2:$B$161,F143))</f>
        <v>-</v>
      </c>
    </row>
    <row r="144" spans="1:9" x14ac:dyDescent="0.25">
      <c r="A144" s="3">
        <v>5</v>
      </c>
      <c r="B144" s="2" t="str">
        <f>'Ground-Truth'!B6</f>
        <v>Frostschutzschicht</v>
      </c>
      <c r="C144" s="2" t="str">
        <f>IF('Ground-Truth'!C6="Ja","✓ Ausgewertet","⊘ Ausgeschlossen")</f>
        <v>⊘ Ausgeschlossen</v>
      </c>
      <c r="D144" s="2">
        <f>'Ground-Truth'!D6</f>
        <v>0</v>
      </c>
      <c r="E144" s="2" t="s">
        <v>49</v>
      </c>
      <c r="F144" s="2" t="s">
        <v>57</v>
      </c>
      <c r="G144" s="2" t="str">
        <f>IF('Ground-Truth'!C6&lt;&gt;"Ja","-",IFERROR(H144/I144*100,"-"))</f>
        <v>-</v>
      </c>
      <c r="H144" s="2" t="str">
        <f>IF('Ground-Truth'!C6&lt;&gt;"Ja","-",SUMIFS('Benchmark-Runs'!$T$2:$T$161,'Benchmark-Runs'!$C$2:$C$161,E144,'Benchmark-Runs'!$B$2:$B$161,F144))</f>
        <v>-</v>
      </c>
      <c r="I144" s="4" t="str">
        <f>IF('Ground-Truth'!C6&lt;&gt;"Ja","-",COUNTIFS('Benchmark-Runs'!$C$2:$C$161,E144,'Benchmark-Runs'!$B$2:$B$161,F144))</f>
        <v>-</v>
      </c>
    </row>
    <row r="145" spans="1:9" ht="30" x14ac:dyDescent="0.25">
      <c r="A145" s="3">
        <v>5</v>
      </c>
      <c r="B145" s="2" t="str">
        <f>'Ground-Truth'!B6</f>
        <v>Frostschutzschicht</v>
      </c>
      <c r="C145" s="2" t="str">
        <f>IF('Ground-Truth'!C6="Ja","✓ Ausgewertet","⊘ Ausgeschlossen")</f>
        <v>⊘ Ausgeschlossen</v>
      </c>
      <c r="D145" s="2">
        <f>'Ground-Truth'!D6</f>
        <v>0</v>
      </c>
      <c r="E145" s="2" t="s">
        <v>49</v>
      </c>
      <c r="F145" s="2" t="s">
        <v>58</v>
      </c>
      <c r="G145" s="2" t="str">
        <f>IF('Ground-Truth'!C6&lt;&gt;"Ja","-",IFERROR(H145/I145*100,"-"))</f>
        <v>-</v>
      </c>
      <c r="H145" s="2" t="str">
        <f>IF('Ground-Truth'!C6&lt;&gt;"Ja","-",SUMIFS('Benchmark-Runs'!$T$2:$T$161,'Benchmark-Runs'!$C$2:$C$161,E145,'Benchmark-Runs'!$B$2:$B$161,F145))</f>
        <v>-</v>
      </c>
      <c r="I145" s="4" t="str">
        <f>IF('Ground-Truth'!C6&lt;&gt;"Ja","-",COUNTIFS('Benchmark-Runs'!$C$2:$C$161,E145,'Benchmark-Runs'!$B$2:$B$161,F145))</f>
        <v>-</v>
      </c>
    </row>
    <row r="146" spans="1:9" x14ac:dyDescent="0.25">
      <c r="A146" s="3">
        <v>5</v>
      </c>
      <c r="B146" s="2" t="str">
        <f>'Ground-Truth'!B6</f>
        <v>Frostschutzschicht</v>
      </c>
      <c r="C146" s="2" t="str">
        <f>IF('Ground-Truth'!C6="Ja","✓ Ausgewertet","⊘ Ausgeschlossen")</f>
        <v>⊘ Ausgeschlossen</v>
      </c>
      <c r="D146" s="2">
        <f>'Ground-Truth'!D6</f>
        <v>0</v>
      </c>
      <c r="E146" s="2" t="s">
        <v>52</v>
      </c>
      <c r="F146" s="2" t="s">
        <v>41</v>
      </c>
      <c r="G146" s="2" t="str">
        <f>IF('Ground-Truth'!C6&lt;&gt;"Ja","-",IFERROR(H146/I146*100,"-"))</f>
        <v>-</v>
      </c>
      <c r="H146" s="2" t="str">
        <f>IF('Ground-Truth'!C6&lt;&gt;"Ja","-",SUMIFS('Benchmark-Runs'!$T$2:$T$161,'Benchmark-Runs'!$C$2:$C$161,E146,'Benchmark-Runs'!$B$2:$B$161,F146))</f>
        <v>-</v>
      </c>
      <c r="I146" s="4" t="str">
        <f>IF('Ground-Truth'!C6&lt;&gt;"Ja","-",COUNTIFS('Benchmark-Runs'!$C$2:$C$161,E146,'Benchmark-Runs'!$B$2:$B$161,F146))</f>
        <v>-</v>
      </c>
    </row>
    <row r="147" spans="1:9" x14ac:dyDescent="0.25">
      <c r="A147" s="3">
        <v>5</v>
      </c>
      <c r="B147" s="2" t="str">
        <f>'Ground-Truth'!B6</f>
        <v>Frostschutzschicht</v>
      </c>
      <c r="C147" s="2" t="str">
        <f>IF('Ground-Truth'!C6="Ja","✓ Ausgewertet","⊘ Ausgeschlossen")</f>
        <v>⊘ Ausgeschlossen</v>
      </c>
      <c r="D147" s="2">
        <f>'Ground-Truth'!D6</f>
        <v>0</v>
      </c>
      <c r="E147" s="2" t="s">
        <v>52</v>
      </c>
      <c r="F147" s="2" t="s">
        <v>44</v>
      </c>
      <c r="G147" s="2" t="str">
        <f>IF('Ground-Truth'!C6&lt;&gt;"Ja","-",IFERROR(H147/I147*100,"-"))</f>
        <v>-</v>
      </c>
      <c r="H147" s="2" t="str">
        <f>IF('Ground-Truth'!C6&lt;&gt;"Ja","-",SUMIFS('Benchmark-Runs'!$T$2:$T$161,'Benchmark-Runs'!$C$2:$C$161,E147,'Benchmark-Runs'!$B$2:$B$161,F147))</f>
        <v>-</v>
      </c>
      <c r="I147" s="4" t="str">
        <f>IF('Ground-Truth'!C6&lt;&gt;"Ja","-",COUNTIFS('Benchmark-Runs'!$C$2:$C$161,E147,'Benchmark-Runs'!$B$2:$B$161,F147))</f>
        <v>-</v>
      </c>
    </row>
    <row r="148" spans="1:9" x14ac:dyDescent="0.25">
      <c r="A148" s="3">
        <v>5</v>
      </c>
      <c r="B148" s="2" t="str">
        <f>'Ground-Truth'!B6</f>
        <v>Frostschutzschicht</v>
      </c>
      <c r="C148" s="2" t="str">
        <f>IF('Ground-Truth'!C6="Ja","✓ Ausgewertet","⊘ Ausgeschlossen")</f>
        <v>⊘ Ausgeschlossen</v>
      </c>
      <c r="D148" s="2">
        <f>'Ground-Truth'!D6</f>
        <v>0</v>
      </c>
      <c r="E148" s="2" t="s">
        <v>52</v>
      </c>
      <c r="F148" s="2" t="s">
        <v>46</v>
      </c>
      <c r="G148" s="2" t="str">
        <f>IF('Ground-Truth'!C6&lt;&gt;"Ja","-",IFERROR(H148/I148*100,"-"))</f>
        <v>-</v>
      </c>
      <c r="H148" s="2" t="str">
        <f>IF('Ground-Truth'!C6&lt;&gt;"Ja","-",SUMIFS('Benchmark-Runs'!$T$2:$T$161,'Benchmark-Runs'!$C$2:$C$161,E148,'Benchmark-Runs'!$B$2:$B$161,F148))</f>
        <v>-</v>
      </c>
      <c r="I148" s="4" t="str">
        <f>IF('Ground-Truth'!C6&lt;&gt;"Ja","-",COUNTIFS('Benchmark-Runs'!$C$2:$C$161,E148,'Benchmark-Runs'!$B$2:$B$161,F148))</f>
        <v>-</v>
      </c>
    </row>
    <row r="149" spans="1:9" x14ac:dyDescent="0.25">
      <c r="A149" s="3">
        <v>5</v>
      </c>
      <c r="B149" s="2" t="str">
        <f>'Ground-Truth'!B6</f>
        <v>Frostschutzschicht</v>
      </c>
      <c r="C149" s="2" t="str">
        <f>IF('Ground-Truth'!C6="Ja","✓ Ausgewertet","⊘ Ausgeschlossen")</f>
        <v>⊘ Ausgeschlossen</v>
      </c>
      <c r="D149" s="2">
        <f>'Ground-Truth'!D6</f>
        <v>0</v>
      </c>
      <c r="E149" s="2" t="s">
        <v>52</v>
      </c>
      <c r="F149" s="2" t="s">
        <v>47</v>
      </c>
      <c r="G149" s="2" t="str">
        <f>IF('Ground-Truth'!C6&lt;&gt;"Ja","-",IFERROR(H149/I149*100,"-"))</f>
        <v>-</v>
      </c>
      <c r="H149" s="2" t="str">
        <f>IF('Ground-Truth'!C6&lt;&gt;"Ja","-",SUMIFS('Benchmark-Runs'!$T$2:$T$161,'Benchmark-Runs'!$C$2:$C$161,E149,'Benchmark-Runs'!$B$2:$B$161,F149))</f>
        <v>-</v>
      </c>
      <c r="I149" s="4" t="str">
        <f>IF('Ground-Truth'!C6&lt;&gt;"Ja","-",COUNTIFS('Benchmark-Runs'!$C$2:$C$161,E149,'Benchmark-Runs'!$B$2:$B$161,F149))</f>
        <v>-</v>
      </c>
    </row>
    <row r="150" spans="1:9" x14ac:dyDescent="0.25">
      <c r="A150" s="3">
        <v>5</v>
      </c>
      <c r="B150" s="2" t="str">
        <f>'Ground-Truth'!B6</f>
        <v>Frostschutzschicht</v>
      </c>
      <c r="C150" s="2" t="str">
        <f>IF('Ground-Truth'!C6="Ja","✓ Ausgewertet","⊘ Ausgeschlossen")</f>
        <v>⊘ Ausgeschlossen</v>
      </c>
      <c r="D150" s="2">
        <f>'Ground-Truth'!D6</f>
        <v>0</v>
      </c>
      <c r="E150" s="2" t="s">
        <v>52</v>
      </c>
      <c r="F150" s="2" t="s">
        <v>48</v>
      </c>
      <c r="G150" s="2" t="str">
        <f>IF('Ground-Truth'!C6&lt;&gt;"Ja","-",IFERROR(H150/I150*100,"-"))</f>
        <v>-</v>
      </c>
      <c r="H150" s="2" t="str">
        <f>IF('Ground-Truth'!C6&lt;&gt;"Ja","-",SUMIFS('Benchmark-Runs'!$T$2:$T$161,'Benchmark-Runs'!$C$2:$C$161,E150,'Benchmark-Runs'!$B$2:$B$161,F150))</f>
        <v>-</v>
      </c>
      <c r="I150" s="4" t="str">
        <f>IF('Ground-Truth'!C6&lt;&gt;"Ja","-",COUNTIFS('Benchmark-Runs'!$C$2:$C$161,E150,'Benchmark-Runs'!$B$2:$B$161,F150))</f>
        <v>-</v>
      </c>
    </row>
    <row r="151" spans="1:9" x14ac:dyDescent="0.25">
      <c r="A151" s="3">
        <v>5</v>
      </c>
      <c r="B151" s="2" t="str">
        <f>'Ground-Truth'!B6</f>
        <v>Frostschutzschicht</v>
      </c>
      <c r="C151" s="2" t="str">
        <f>IF('Ground-Truth'!C6="Ja","✓ Ausgewertet","⊘ Ausgeschlossen")</f>
        <v>⊘ Ausgeschlossen</v>
      </c>
      <c r="D151" s="2">
        <f>'Ground-Truth'!D6</f>
        <v>0</v>
      </c>
      <c r="E151" s="2" t="s">
        <v>52</v>
      </c>
      <c r="F151" s="2" t="s">
        <v>56</v>
      </c>
      <c r="G151" s="2" t="str">
        <f>IF('Ground-Truth'!C6&lt;&gt;"Ja","-",IFERROR(H151/I151*100,"-"))</f>
        <v>-</v>
      </c>
      <c r="H151" s="2" t="str">
        <f>IF('Ground-Truth'!C6&lt;&gt;"Ja","-",SUMIFS('Benchmark-Runs'!$T$2:$T$161,'Benchmark-Runs'!$C$2:$C$161,E151,'Benchmark-Runs'!$B$2:$B$161,F151))</f>
        <v>-</v>
      </c>
      <c r="I151" s="4" t="str">
        <f>IF('Ground-Truth'!C6&lt;&gt;"Ja","-",COUNTIFS('Benchmark-Runs'!$C$2:$C$161,E151,'Benchmark-Runs'!$B$2:$B$161,F151))</f>
        <v>-</v>
      </c>
    </row>
    <row r="152" spans="1:9" x14ac:dyDescent="0.25">
      <c r="A152" s="3">
        <v>5</v>
      </c>
      <c r="B152" s="2" t="str">
        <f>'Ground-Truth'!B6</f>
        <v>Frostschutzschicht</v>
      </c>
      <c r="C152" s="2" t="str">
        <f>IF('Ground-Truth'!C6="Ja","✓ Ausgewertet","⊘ Ausgeschlossen")</f>
        <v>⊘ Ausgeschlossen</v>
      </c>
      <c r="D152" s="2">
        <f>'Ground-Truth'!D6</f>
        <v>0</v>
      </c>
      <c r="E152" s="2" t="s">
        <v>52</v>
      </c>
      <c r="F152" s="2" t="s">
        <v>57</v>
      </c>
      <c r="G152" s="2" t="str">
        <f>IF('Ground-Truth'!C6&lt;&gt;"Ja","-",IFERROR(H152/I152*100,"-"))</f>
        <v>-</v>
      </c>
      <c r="H152" s="2" t="str">
        <f>IF('Ground-Truth'!C6&lt;&gt;"Ja","-",SUMIFS('Benchmark-Runs'!$T$2:$T$161,'Benchmark-Runs'!$C$2:$C$161,E152,'Benchmark-Runs'!$B$2:$B$161,F152))</f>
        <v>-</v>
      </c>
      <c r="I152" s="4" t="str">
        <f>IF('Ground-Truth'!C6&lt;&gt;"Ja","-",COUNTIFS('Benchmark-Runs'!$C$2:$C$161,E152,'Benchmark-Runs'!$B$2:$B$161,F152))</f>
        <v>-</v>
      </c>
    </row>
    <row r="153" spans="1:9" ht="30" x14ac:dyDescent="0.25">
      <c r="A153" s="3">
        <v>5</v>
      </c>
      <c r="B153" s="2" t="str">
        <f>'Ground-Truth'!B6</f>
        <v>Frostschutzschicht</v>
      </c>
      <c r="C153" s="2" t="str">
        <f>IF('Ground-Truth'!C6="Ja","✓ Ausgewertet","⊘ Ausgeschlossen")</f>
        <v>⊘ Ausgeschlossen</v>
      </c>
      <c r="D153" s="2">
        <f>'Ground-Truth'!D6</f>
        <v>0</v>
      </c>
      <c r="E153" s="2" t="s">
        <v>52</v>
      </c>
      <c r="F153" s="2" t="s">
        <v>58</v>
      </c>
      <c r="G153" s="2" t="str">
        <f>IF('Ground-Truth'!C6&lt;&gt;"Ja","-",IFERROR(H153/I153*100,"-"))</f>
        <v>-</v>
      </c>
      <c r="H153" s="2" t="str">
        <f>IF('Ground-Truth'!C6&lt;&gt;"Ja","-",SUMIFS('Benchmark-Runs'!$T$2:$T$161,'Benchmark-Runs'!$C$2:$C$161,E153,'Benchmark-Runs'!$B$2:$B$161,F153))</f>
        <v>-</v>
      </c>
      <c r="I153" s="4" t="str">
        <f>IF('Ground-Truth'!C6&lt;&gt;"Ja","-",COUNTIFS('Benchmark-Runs'!$C$2:$C$161,E153,'Benchmark-Runs'!$B$2:$B$161,F153))</f>
        <v>-</v>
      </c>
    </row>
    <row r="154" spans="1:9" x14ac:dyDescent="0.25">
      <c r="A154" s="3">
        <v>5</v>
      </c>
      <c r="B154" s="2" t="str">
        <f>'Ground-Truth'!B6</f>
        <v>Frostschutzschicht</v>
      </c>
      <c r="C154" s="2" t="str">
        <f>IF('Ground-Truth'!C6="Ja","✓ Ausgewertet","⊘ Ausgeschlossen")</f>
        <v>⊘ Ausgeschlossen</v>
      </c>
      <c r="D154" s="2">
        <f>'Ground-Truth'!D6</f>
        <v>0</v>
      </c>
      <c r="E154" s="2" t="s">
        <v>53</v>
      </c>
      <c r="F154" s="2" t="s">
        <v>41</v>
      </c>
      <c r="G154" s="2" t="str">
        <f>IF('Ground-Truth'!C6&lt;&gt;"Ja","-",IFERROR(H154/I154*100,"-"))</f>
        <v>-</v>
      </c>
      <c r="H154" s="2" t="str">
        <f>IF('Ground-Truth'!C6&lt;&gt;"Ja","-",SUMIFS('Benchmark-Runs'!$T$2:$T$161,'Benchmark-Runs'!$C$2:$C$161,E154,'Benchmark-Runs'!$B$2:$B$161,F154))</f>
        <v>-</v>
      </c>
      <c r="I154" s="4" t="str">
        <f>IF('Ground-Truth'!C6&lt;&gt;"Ja","-",COUNTIFS('Benchmark-Runs'!$C$2:$C$161,E154,'Benchmark-Runs'!$B$2:$B$161,F154))</f>
        <v>-</v>
      </c>
    </row>
    <row r="155" spans="1:9" x14ac:dyDescent="0.25">
      <c r="A155" s="3">
        <v>5</v>
      </c>
      <c r="B155" s="2" t="str">
        <f>'Ground-Truth'!B6</f>
        <v>Frostschutzschicht</v>
      </c>
      <c r="C155" s="2" t="str">
        <f>IF('Ground-Truth'!C6="Ja","✓ Ausgewertet","⊘ Ausgeschlossen")</f>
        <v>⊘ Ausgeschlossen</v>
      </c>
      <c r="D155" s="2">
        <f>'Ground-Truth'!D6</f>
        <v>0</v>
      </c>
      <c r="E155" s="2" t="s">
        <v>53</v>
      </c>
      <c r="F155" s="2" t="s">
        <v>44</v>
      </c>
      <c r="G155" s="2" t="str">
        <f>IF('Ground-Truth'!C6&lt;&gt;"Ja","-",IFERROR(H155/I155*100,"-"))</f>
        <v>-</v>
      </c>
      <c r="H155" s="2" t="str">
        <f>IF('Ground-Truth'!C6&lt;&gt;"Ja","-",SUMIFS('Benchmark-Runs'!$T$2:$T$161,'Benchmark-Runs'!$C$2:$C$161,E155,'Benchmark-Runs'!$B$2:$B$161,F155))</f>
        <v>-</v>
      </c>
      <c r="I155" s="4" t="str">
        <f>IF('Ground-Truth'!C6&lt;&gt;"Ja","-",COUNTIFS('Benchmark-Runs'!$C$2:$C$161,E155,'Benchmark-Runs'!$B$2:$B$161,F155))</f>
        <v>-</v>
      </c>
    </row>
    <row r="156" spans="1:9" x14ac:dyDescent="0.25">
      <c r="A156" s="3">
        <v>5</v>
      </c>
      <c r="B156" s="2" t="str">
        <f>'Ground-Truth'!B6</f>
        <v>Frostschutzschicht</v>
      </c>
      <c r="C156" s="2" t="str">
        <f>IF('Ground-Truth'!C6="Ja","✓ Ausgewertet","⊘ Ausgeschlossen")</f>
        <v>⊘ Ausgeschlossen</v>
      </c>
      <c r="D156" s="2">
        <f>'Ground-Truth'!D6</f>
        <v>0</v>
      </c>
      <c r="E156" s="2" t="s">
        <v>53</v>
      </c>
      <c r="F156" s="2" t="s">
        <v>46</v>
      </c>
      <c r="G156" s="2" t="str">
        <f>IF('Ground-Truth'!C6&lt;&gt;"Ja","-",IFERROR(H156/I156*100,"-"))</f>
        <v>-</v>
      </c>
      <c r="H156" s="2" t="str">
        <f>IF('Ground-Truth'!C6&lt;&gt;"Ja","-",SUMIFS('Benchmark-Runs'!$T$2:$T$161,'Benchmark-Runs'!$C$2:$C$161,E156,'Benchmark-Runs'!$B$2:$B$161,F156))</f>
        <v>-</v>
      </c>
      <c r="I156" s="4" t="str">
        <f>IF('Ground-Truth'!C6&lt;&gt;"Ja","-",COUNTIFS('Benchmark-Runs'!$C$2:$C$161,E156,'Benchmark-Runs'!$B$2:$B$161,F156))</f>
        <v>-</v>
      </c>
    </row>
    <row r="157" spans="1:9" x14ac:dyDescent="0.25">
      <c r="A157" s="3">
        <v>5</v>
      </c>
      <c r="B157" s="2" t="str">
        <f>'Ground-Truth'!B6</f>
        <v>Frostschutzschicht</v>
      </c>
      <c r="C157" s="2" t="str">
        <f>IF('Ground-Truth'!C6="Ja","✓ Ausgewertet","⊘ Ausgeschlossen")</f>
        <v>⊘ Ausgeschlossen</v>
      </c>
      <c r="D157" s="2">
        <f>'Ground-Truth'!D6</f>
        <v>0</v>
      </c>
      <c r="E157" s="2" t="s">
        <v>53</v>
      </c>
      <c r="F157" s="2" t="s">
        <v>47</v>
      </c>
      <c r="G157" s="2" t="str">
        <f>IF('Ground-Truth'!C6&lt;&gt;"Ja","-",IFERROR(H157/I157*100,"-"))</f>
        <v>-</v>
      </c>
      <c r="H157" s="2" t="str">
        <f>IF('Ground-Truth'!C6&lt;&gt;"Ja","-",SUMIFS('Benchmark-Runs'!$T$2:$T$161,'Benchmark-Runs'!$C$2:$C$161,E157,'Benchmark-Runs'!$B$2:$B$161,F157))</f>
        <v>-</v>
      </c>
      <c r="I157" s="4" t="str">
        <f>IF('Ground-Truth'!C6&lt;&gt;"Ja","-",COUNTIFS('Benchmark-Runs'!$C$2:$C$161,E157,'Benchmark-Runs'!$B$2:$B$161,F157))</f>
        <v>-</v>
      </c>
    </row>
    <row r="158" spans="1:9" x14ac:dyDescent="0.25">
      <c r="A158" s="3">
        <v>5</v>
      </c>
      <c r="B158" s="2" t="str">
        <f>'Ground-Truth'!B6</f>
        <v>Frostschutzschicht</v>
      </c>
      <c r="C158" s="2" t="str">
        <f>IF('Ground-Truth'!C6="Ja","✓ Ausgewertet","⊘ Ausgeschlossen")</f>
        <v>⊘ Ausgeschlossen</v>
      </c>
      <c r="D158" s="2">
        <f>'Ground-Truth'!D6</f>
        <v>0</v>
      </c>
      <c r="E158" s="2" t="s">
        <v>53</v>
      </c>
      <c r="F158" s="2" t="s">
        <v>48</v>
      </c>
      <c r="G158" s="2" t="str">
        <f>IF('Ground-Truth'!C6&lt;&gt;"Ja","-",IFERROR(H158/I158*100,"-"))</f>
        <v>-</v>
      </c>
      <c r="H158" s="2" t="str">
        <f>IF('Ground-Truth'!C6&lt;&gt;"Ja","-",SUMIFS('Benchmark-Runs'!$T$2:$T$161,'Benchmark-Runs'!$C$2:$C$161,E158,'Benchmark-Runs'!$B$2:$B$161,F158))</f>
        <v>-</v>
      </c>
      <c r="I158" s="4" t="str">
        <f>IF('Ground-Truth'!C6&lt;&gt;"Ja","-",COUNTIFS('Benchmark-Runs'!$C$2:$C$161,E158,'Benchmark-Runs'!$B$2:$B$161,F158))</f>
        <v>-</v>
      </c>
    </row>
    <row r="159" spans="1:9" x14ac:dyDescent="0.25">
      <c r="A159" s="3">
        <v>5</v>
      </c>
      <c r="B159" s="2" t="str">
        <f>'Ground-Truth'!B6</f>
        <v>Frostschutzschicht</v>
      </c>
      <c r="C159" s="2" t="str">
        <f>IF('Ground-Truth'!C6="Ja","✓ Ausgewertet","⊘ Ausgeschlossen")</f>
        <v>⊘ Ausgeschlossen</v>
      </c>
      <c r="D159" s="2">
        <f>'Ground-Truth'!D6</f>
        <v>0</v>
      </c>
      <c r="E159" s="2" t="s">
        <v>53</v>
      </c>
      <c r="F159" s="2" t="s">
        <v>56</v>
      </c>
      <c r="G159" s="2" t="str">
        <f>IF('Ground-Truth'!C6&lt;&gt;"Ja","-",IFERROR(H159/I159*100,"-"))</f>
        <v>-</v>
      </c>
      <c r="H159" s="2" t="str">
        <f>IF('Ground-Truth'!C6&lt;&gt;"Ja","-",SUMIFS('Benchmark-Runs'!$T$2:$T$161,'Benchmark-Runs'!$C$2:$C$161,E159,'Benchmark-Runs'!$B$2:$B$161,F159))</f>
        <v>-</v>
      </c>
      <c r="I159" s="4" t="str">
        <f>IF('Ground-Truth'!C6&lt;&gt;"Ja","-",COUNTIFS('Benchmark-Runs'!$C$2:$C$161,E159,'Benchmark-Runs'!$B$2:$B$161,F159))</f>
        <v>-</v>
      </c>
    </row>
    <row r="160" spans="1:9" x14ac:dyDescent="0.25">
      <c r="A160" s="3">
        <v>5</v>
      </c>
      <c r="B160" s="2" t="str">
        <f>'Ground-Truth'!B6</f>
        <v>Frostschutzschicht</v>
      </c>
      <c r="C160" s="2" t="str">
        <f>IF('Ground-Truth'!C6="Ja","✓ Ausgewertet","⊘ Ausgeschlossen")</f>
        <v>⊘ Ausgeschlossen</v>
      </c>
      <c r="D160" s="2">
        <f>'Ground-Truth'!D6</f>
        <v>0</v>
      </c>
      <c r="E160" s="2" t="s">
        <v>53</v>
      </c>
      <c r="F160" s="2" t="s">
        <v>57</v>
      </c>
      <c r="G160" s="2" t="str">
        <f>IF('Ground-Truth'!C6&lt;&gt;"Ja","-",IFERROR(H160/I160*100,"-"))</f>
        <v>-</v>
      </c>
      <c r="H160" s="2" t="str">
        <f>IF('Ground-Truth'!C6&lt;&gt;"Ja","-",SUMIFS('Benchmark-Runs'!$T$2:$T$161,'Benchmark-Runs'!$C$2:$C$161,E160,'Benchmark-Runs'!$B$2:$B$161,F160))</f>
        <v>-</v>
      </c>
      <c r="I160" s="4" t="str">
        <f>IF('Ground-Truth'!C6&lt;&gt;"Ja","-",COUNTIFS('Benchmark-Runs'!$C$2:$C$161,E160,'Benchmark-Runs'!$B$2:$B$161,F160))</f>
        <v>-</v>
      </c>
    </row>
    <row r="161" spans="1:9" ht="30" x14ac:dyDescent="0.25">
      <c r="A161" s="8">
        <v>5</v>
      </c>
      <c r="B161" s="9" t="str">
        <f>'Ground-Truth'!B6</f>
        <v>Frostschutzschicht</v>
      </c>
      <c r="C161" s="9" t="str">
        <f>IF('Ground-Truth'!C6="Ja","✓ Ausgewertet","⊘ Ausgeschlossen")</f>
        <v>⊘ Ausgeschlossen</v>
      </c>
      <c r="D161" s="9">
        <f>'Ground-Truth'!D6</f>
        <v>0</v>
      </c>
      <c r="E161" s="9" t="s">
        <v>53</v>
      </c>
      <c r="F161" s="9" t="s">
        <v>58</v>
      </c>
      <c r="G161" s="9" t="str">
        <f>IF('Ground-Truth'!C6&lt;&gt;"Ja","-",IFERROR(H161/I161*100,"-"))</f>
        <v>-</v>
      </c>
      <c r="H161" s="9" t="str">
        <f>IF('Ground-Truth'!C6&lt;&gt;"Ja","-",SUMIFS('Benchmark-Runs'!$T$2:$T$161,'Benchmark-Runs'!$C$2:$C$161,E161,'Benchmark-Runs'!$B$2:$B$161,F161))</f>
        <v>-</v>
      </c>
      <c r="I161" s="10" t="str">
        <f>IF('Ground-Truth'!C6&lt;&gt;"Ja","-",COUNTIFS('Benchmark-Runs'!$C$2:$C$161,E161,'Benchmark-Runs'!$B$2:$B$161,F161))</f>
        <v>-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/>
  </sheetViews>
  <sheetFormatPr baseColWidth="10" defaultColWidth="9.140625" defaultRowHeight="15" x14ac:dyDescent="0.25"/>
  <cols>
    <col min="1" max="1" width="29" customWidth="1"/>
    <col min="2" max="2" width="28" customWidth="1"/>
    <col min="3" max="3" width="25" customWidth="1"/>
    <col min="4" max="4" width="50" customWidth="1"/>
    <col min="5" max="5" width="14" customWidth="1"/>
    <col min="6" max="6" width="18" customWidth="1"/>
    <col min="7" max="7" width="16" customWidth="1"/>
    <col min="8" max="8" width="18" customWidth="1"/>
    <col min="9" max="9" width="19" customWidth="1"/>
    <col min="10" max="10" width="15" customWidth="1"/>
    <col min="11" max="12" width="13" customWidth="1"/>
  </cols>
  <sheetData>
    <row r="1" spans="1:12" x14ac:dyDescent="0.25">
      <c r="A1" s="1" t="s">
        <v>16</v>
      </c>
      <c r="B1" s="1" t="s">
        <v>91</v>
      </c>
      <c r="C1" s="1" t="s">
        <v>17</v>
      </c>
      <c r="D1" s="1" t="s">
        <v>92</v>
      </c>
      <c r="E1" s="1" t="s">
        <v>18</v>
      </c>
      <c r="F1" s="1" t="s">
        <v>67</v>
      </c>
      <c r="G1" s="1" t="s">
        <v>65</v>
      </c>
      <c r="H1" s="1" t="s">
        <v>69</v>
      </c>
      <c r="I1" s="1" t="s">
        <v>70</v>
      </c>
      <c r="J1" s="1" t="s">
        <v>93</v>
      </c>
      <c r="K1" s="1" t="s">
        <v>94</v>
      </c>
      <c r="L1" s="1" t="s">
        <v>95</v>
      </c>
    </row>
    <row r="2" spans="1:12" ht="30" x14ac:dyDescent="0.25">
      <c r="A2" s="2" t="s">
        <v>40</v>
      </c>
      <c r="B2" s="2" t="s">
        <v>96</v>
      </c>
      <c r="C2" s="2" t="s">
        <v>41</v>
      </c>
      <c r="D2" s="2" t="s">
        <v>97</v>
      </c>
      <c r="E2" s="2" t="s">
        <v>42</v>
      </c>
      <c r="F2" s="2">
        <v>14.09</v>
      </c>
      <c r="G2" s="2">
        <v>3.9110000000000004E-3</v>
      </c>
      <c r="H2" s="2">
        <v>23014</v>
      </c>
      <c r="I2" s="2">
        <v>765.6</v>
      </c>
      <c r="J2" s="2">
        <v>1</v>
      </c>
      <c r="K2" s="2">
        <v>0</v>
      </c>
      <c r="L2" s="2">
        <v>5</v>
      </c>
    </row>
    <row r="3" spans="1:12" ht="30" x14ac:dyDescent="0.25">
      <c r="A3" s="2" t="s">
        <v>40</v>
      </c>
      <c r="B3" s="2" t="s">
        <v>96</v>
      </c>
      <c r="C3" s="2" t="s">
        <v>44</v>
      </c>
      <c r="D3" s="2" t="s">
        <v>98</v>
      </c>
      <c r="E3" s="2" t="s">
        <v>42</v>
      </c>
      <c r="F3" s="2">
        <v>14.02</v>
      </c>
      <c r="G3" s="2">
        <v>1.39E-3</v>
      </c>
      <c r="H3" s="2">
        <v>6576</v>
      </c>
      <c r="I3" s="2">
        <v>672.6</v>
      </c>
      <c r="J3" s="2">
        <v>5</v>
      </c>
      <c r="K3" s="2">
        <v>0</v>
      </c>
      <c r="L3" s="2">
        <v>5</v>
      </c>
    </row>
    <row r="4" spans="1:12" x14ac:dyDescent="0.25">
      <c r="A4" s="2" t="s">
        <v>40</v>
      </c>
      <c r="B4" s="2" t="s">
        <v>96</v>
      </c>
      <c r="C4" s="2" t="s">
        <v>46</v>
      </c>
      <c r="D4" s="2" t="s">
        <v>99</v>
      </c>
      <c r="E4" s="2" t="s">
        <v>42</v>
      </c>
      <c r="F4" s="2">
        <v>20.66</v>
      </c>
      <c r="G4" s="2">
        <v>1.7319999999999999E-2</v>
      </c>
      <c r="H4" s="2">
        <v>112054</v>
      </c>
      <c r="I4" s="2">
        <v>853.2</v>
      </c>
      <c r="J4" s="2">
        <v>5</v>
      </c>
      <c r="K4" s="2">
        <v>0</v>
      </c>
      <c r="L4" s="2">
        <v>5</v>
      </c>
    </row>
    <row r="5" spans="1:12" x14ac:dyDescent="0.25">
      <c r="A5" s="2" t="s">
        <v>40</v>
      </c>
      <c r="B5" s="2" t="s">
        <v>96</v>
      </c>
      <c r="C5" s="2" t="s">
        <v>47</v>
      </c>
      <c r="D5" s="2" t="s">
        <v>100</v>
      </c>
      <c r="E5" s="2" t="s">
        <v>42</v>
      </c>
      <c r="F5" s="2">
        <v>28.66</v>
      </c>
      <c r="G5" s="2">
        <v>1.7583999999999999E-2</v>
      </c>
      <c r="H5" s="2">
        <v>112054</v>
      </c>
      <c r="I5" s="2">
        <v>1293.8</v>
      </c>
      <c r="J5" s="2">
        <v>5</v>
      </c>
      <c r="K5" s="2">
        <v>0</v>
      </c>
      <c r="L5" s="2">
        <v>5</v>
      </c>
    </row>
    <row r="6" spans="1:12" ht="30" x14ac:dyDescent="0.25">
      <c r="A6" s="2" t="s">
        <v>40</v>
      </c>
      <c r="B6" s="2" t="s">
        <v>96</v>
      </c>
      <c r="C6" s="2" t="s">
        <v>48</v>
      </c>
      <c r="D6" s="2" t="s">
        <v>101</v>
      </c>
      <c r="E6" s="2" t="s">
        <v>42</v>
      </c>
      <c r="F6" s="2">
        <v>8.8000000000000007</v>
      </c>
      <c r="G6" s="2">
        <v>9.41E-4</v>
      </c>
      <c r="H6" s="2">
        <v>4419</v>
      </c>
      <c r="I6" s="2">
        <v>463.8</v>
      </c>
      <c r="J6" s="2">
        <v>1</v>
      </c>
      <c r="K6" s="2">
        <v>0</v>
      </c>
      <c r="L6" s="2">
        <v>5</v>
      </c>
    </row>
    <row r="7" spans="1:12" ht="30" x14ac:dyDescent="0.25">
      <c r="A7" s="2" t="s">
        <v>40</v>
      </c>
      <c r="B7" s="2" t="s">
        <v>96</v>
      </c>
      <c r="C7" s="2" t="s">
        <v>41</v>
      </c>
      <c r="D7" s="2" t="s">
        <v>97</v>
      </c>
      <c r="E7" s="2" t="s">
        <v>49</v>
      </c>
      <c r="F7" s="2">
        <v>147.84</v>
      </c>
      <c r="G7" s="2">
        <v>5.4660000000000004E-3</v>
      </c>
      <c r="H7" s="2">
        <v>23013</v>
      </c>
      <c r="I7" s="2">
        <v>10789.6</v>
      </c>
      <c r="J7" s="2">
        <v>1</v>
      </c>
      <c r="K7" s="2">
        <v>0</v>
      </c>
      <c r="L7" s="2">
        <v>5</v>
      </c>
    </row>
    <row r="8" spans="1:12" ht="30" x14ac:dyDescent="0.25">
      <c r="A8" s="2" t="s">
        <v>40</v>
      </c>
      <c r="B8" s="2" t="s">
        <v>96</v>
      </c>
      <c r="C8" s="2" t="s">
        <v>44</v>
      </c>
      <c r="D8" s="2" t="s">
        <v>98</v>
      </c>
      <c r="E8" s="2" t="s">
        <v>49</v>
      </c>
      <c r="F8" s="2">
        <v>197.2</v>
      </c>
      <c r="G8" s="2">
        <v>8.6820000000000005E-3</v>
      </c>
      <c r="H8" s="2">
        <v>6571</v>
      </c>
      <c r="I8" s="2">
        <v>20883.8</v>
      </c>
      <c r="J8" s="2">
        <v>5</v>
      </c>
      <c r="K8" s="2">
        <v>0</v>
      </c>
      <c r="L8" s="2">
        <v>5</v>
      </c>
    </row>
    <row r="9" spans="1:12" x14ac:dyDescent="0.25">
      <c r="A9" s="2" t="s">
        <v>40</v>
      </c>
      <c r="B9" s="2" t="s">
        <v>96</v>
      </c>
      <c r="C9" s="2" t="s">
        <v>46</v>
      </c>
      <c r="D9" s="2" t="s">
        <v>99</v>
      </c>
      <c r="E9" s="2" t="s">
        <v>49</v>
      </c>
      <c r="F9" s="2">
        <v>226.6</v>
      </c>
      <c r="G9" s="2">
        <v>1.3002E-2</v>
      </c>
      <c r="H9" s="2">
        <v>112049</v>
      </c>
      <c r="I9" s="2">
        <v>18498.599999999999</v>
      </c>
      <c r="J9" s="2">
        <v>5</v>
      </c>
      <c r="K9" s="2">
        <v>0</v>
      </c>
      <c r="L9" s="2">
        <v>5</v>
      </c>
    </row>
    <row r="10" spans="1:12" x14ac:dyDescent="0.25">
      <c r="A10" s="2" t="s">
        <v>40</v>
      </c>
      <c r="B10" s="2" t="s">
        <v>96</v>
      </c>
      <c r="C10" s="2" t="s">
        <v>47</v>
      </c>
      <c r="D10" s="2" t="s">
        <v>100</v>
      </c>
      <c r="E10" s="2" t="s">
        <v>49</v>
      </c>
      <c r="F10" s="2">
        <v>155.66</v>
      </c>
      <c r="G10" s="2">
        <v>1.3094E-2</v>
      </c>
      <c r="H10" s="2">
        <v>112049</v>
      </c>
      <c r="I10" s="2">
        <v>18728.599999999999</v>
      </c>
      <c r="J10" s="2">
        <v>5</v>
      </c>
      <c r="K10" s="2">
        <v>0</v>
      </c>
      <c r="L10" s="2">
        <v>5</v>
      </c>
    </row>
    <row r="11" spans="1:12" ht="30" x14ac:dyDescent="0.25">
      <c r="A11" s="2" t="s">
        <v>40</v>
      </c>
      <c r="B11" s="2" t="s">
        <v>96</v>
      </c>
      <c r="C11" s="2" t="s">
        <v>48</v>
      </c>
      <c r="D11" s="2" t="s">
        <v>101</v>
      </c>
      <c r="E11" s="2" t="s">
        <v>49</v>
      </c>
      <c r="F11" s="2">
        <v>124.67</v>
      </c>
      <c r="G11" s="2">
        <v>4.8609999999999999E-3</v>
      </c>
      <c r="H11" s="2">
        <v>4418</v>
      </c>
      <c r="I11" s="2">
        <v>11599.8</v>
      </c>
      <c r="J11" s="2">
        <v>1</v>
      </c>
      <c r="K11" s="2">
        <v>0</v>
      </c>
      <c r="L11" s="2">
        <v>5</v>
      </c>
    </row>
    <row r="12" spans="1:12" ht="30" x14ac:dyDescent="0.25">
      <c r="A12" s="2" t="s">
        <v>40</v>
      </c>
      <c r="B12" s="2" t="s">
        <v>96</v>
      </c>
      <c r="C12" s="2" t="s">
        <v>41</v>
      </c>
      <c r="D12" s="2" t="s">
        <v>97</v>
      </c>
      <c r="E12" s="2" t="s">
        <v>52</v>
      </c>
      <c r="F12" s="2">
        <v>12.53</v>
      </c>
      <c r="G12" s="2">
        <v>4.4316000000000001E-2</v>
      </c>
      <c r="H12" s="2">
        <v>23014</v>
      </c>
      <c r="I12" s="2">
        <v>1554.8</v>
      </c>
      <c r="J12" s="2">
        <v>1</v>
      </c>
      <c r="K12" s="2">
        <v>0</v>
      </c>
      <c r="L12" s="2">
        <v>5</v>
      </c>
    </row>
    <row r="13" spans="1:12" ht="30" x14ac:dyDescent="0.25">
      <c r="A13" s="2" t="s">
        <v>40</v>
      </c>
      <c r="B13" s="2" t="s">
        <v>96</v>
      </c>
      <c r="C13" s="2" t="s">
        <v>44</v>
      </c>
      <c r="D13" s="2" t="s">
        <v>98</v>
      </c>
      <c r="E13" s="2" t="s">
        <v>52</v>
      </c>
      <c r="F13" s="2">
        <v>18.18</v>
      </c>
      <c r="G13" s="2">
        <v>2.5503999999999999E-2</v>
      </c>
      <c r="H13" s="2">
        <v>6576</v>
      </c>
      <c r="I13" s="2">
        <v>1728.4</v>
      </c>
      <c r="J13" s="2">
        <v>5</v>
      </c>
      <c r="K13" s="2">
        <v>0</v>
      </c>
      <c r="L13" s="2">
        <v>5</v>
      </c>
    </row>
    <row r="14" spans="1:12" x14ac:dyDescent="0.25">
      <c r="A14" s="2" t="s">
        <v>40</v>
      </c>
      <c r="B14" s="2" t="s">
        <v>96</v>
      </c>
      <c r="C14" s="2" t="s">
        <v>46</v>
      </c>
      <c r="D14" s="2" t="s">
        <v>99</v>
      </c>
      <c r="E14" s="2" t="s">
        <v>52</v>
      </c>
      <c r="F14" s="2">
        <v>20.55</v>
      </c>
      <c r="G14" s="2">
        <v>0.15745300000000001</v>
      </c>
      <c r="H14" s="2">
        <v>112054</v>
      </c>
      <c r="I14" s="2">
        <v>1738.6</v>
      </c>
      <c r="J14" s="2">
        <v>5</v>
      </c>
      <c r="K14" s="2">
        <v>0</v>
      </c>
      <c r="L14" s="2">
        <v>5</v>
      </c>
    </row>
    <row r="15" spans="1:12" x14ac:dyDescent="0.25">
      <c r="A15" s="2" t="s">
        <v>40</v>
      </c>
      <c r="B15" s="2" t="s">
        <v>96</v>
      </c>
      <c r="C15" s="2" t="s">
        <v>47</v>
      </c>
      <c r="D15" s="2" t="s">
        <v>100</v>
      </c>
      <c r="E15" s="2" t="s">
        <v>52</v>
      </c>
      <c r="F15" s="2">
        <v>19.8</v>
      </c>
      <c r="G15" s="2">
        <v>0.15781999999999999</v>
      </c>
      <c r="H15" s="2">
        <v>112054</v>
      </c>
      <c r="I15" s="2">
        <v>1775.2</v>
      </c>
      <c r="J15" s="2">
        <v>5</v>
      </c>
      <c r="K15" s="2">
        <v>0</v>
      </c>
      <c r="L15" s="2">
        <v>5</v>
      </c>
    </row>
    <row r="16" spans="1:12" ht="30" x14ac:dyDescent="0.25">
      <c r="A16" s="2" t="s">
        <v>40</v>
      </c>
      <c r="B16" s="2" t="s">
        <v>96</v>
      </c>
      <c r="C16" s="2" t="s">
        <v>48</v>
      </c>
      <c r="D16" s="2" t="s">
        <v>101</v>
      </c>
      <c r="E16" s="2" t="s">
        <v>52</v>
      </c>
      <c r="F16" s="2">
        <v>13.62</v>
      </c>
      <c r="G16" s="2">
        <v>2.0611999999999998E-2</v>
      </c>
      <c r="H16" s="2">
        <v>4419</v>
      </c>
      <c r="I16" s="2">
        <v>1508.8</v>
      </c>
      <c r="J16" s="2">
        <v>1</v>
      </c>
      <c r="K16" s="2">
        <v>0</v>
      </c>
      <c r="L16" s="2">
        <v>5</v>
      </c>
    </row>
    <row r="17" spans="1:12" ht="30" x14ac:dyDescent="0.25">
      <c r="A17" s="2" t="s">
        <v>40</v>
      </c>
      <c r="B17" s="2" t="s">
        <v>96</v>
      </c>
      <c r="C17" s="2" t="s">
        <v>41</v>
      </c>
      <c r="D17" s="2" t="s">
        <v>97</v>
      </c>
      <c r="E17" s="2" t="s">
        <v>53</v>
      </c>
      <c r="F17" s="2">
        <v>17.13</v>
      </c>
      <c r="G17" s="2">
        <v>5.4119E-2</v>
      </c>
      <c r="H17" s="2">
        <v>23013</v>
      </c>
      <c r="I17" s="2">
        <v>989</v>
      </c>
      <c r="J17" s="2">
        <v>1</v>
      </c>
      <c r="K17" s="2">
        <v>0</v>
      </c>
      <c r="L17" s="2">
        <v>5</v>
      </c>
    </row>
    <row r="18" spans="1:12" ht="30" x14ac:dyDescent="0.25">
      <c r="A18" s="2" t="s">
        <v>40</v>
      </c>
      <c r="B18" s="2" t="s">
        <v>96</v>
      </c>
      <c r="C18" s="2" t="s">
        <v>44</v>
      </c>
      <c r="D18" s="2" t="s">
        <v>98</v>
      </c>
      <c r="E18" s="2" t="s">
        <v>53</v>
      </c>
      <c r="F18" s="2">
        <v>45.93</v>
      </c>
      <c r="G18" s="2">
        <v>4.3699000000000002E-2</v>
      </c>
      <c r="H18" s="2">
        <v>6571</v>
      </c>
      <c r="I18" s="2">
        <v>2300</v>
      </c>
      <c r="J18" s="2">
        <v>5</v>
      </c>
      <c r="K18" s="2">
        <v>0</v>
      </c>
      <c r="L18" s="2">
        <v>5</v>
      </c>
    </row>
    <row r="19" spans="1:12" x14ac:dyDescent="0.25">
      <c r="A19" s="2" t="s">
        <v>40</v>
      </c>
      <c r="B19" s="2" t="s">
        <v>96</v>
      </c>
      <c r="C19" s="2" t="s">
        <v>46</v>
      </c>
      <c r="D19" s="2" t="s">
        <v>99</v>
      </c>
      <c r="E19" s="2" t="s">
        <v>53</v>
      </c>
      <c r="F19" s="2">
        <v>40.35</v>
      </c>
      <c r="G19" s="2">
        <v>0.22026399999999999</v>
      </c>
      <c r="H19" s="2">
        <v>112049</v>
      </c>
      <c r="I19" s="2">
        <v>1727</v>
      </c>
      <c r="J19" s="2">
        <v>5</v>
      </c>
      <c r="K19" s="2">
        <v>0</v>
      </c>
      <c r="L19" s="2">
        <v>5</v>
      </c>
    </row>
    <row r="20" spans="1:12" x14ac:dyDescent="0.25">
      <c r="A20" s="2" t="s">
        <v>40</v>
      </c>
      <c r="B20" s="2" t="s">
        <v>96</v>
      </c>
      <c r="C20" s="2" t="s">
        <v>47</v>
      </c>
      <c r="D20" s="2" t="s">
        <v>100</v>
      </c>
      <c r="E20" s="2" t="s">
        <v>53</v>
      </c>
      <c r="F20" s="2">
        <v>39.78</v>
      </c>
      <c r="G20" s="2">
        <v>0.22220999999999999</v>
      </c>
      <c r="H20" s="2">
        <v>112049</v>
      </c>
      <c r="I20" s="2">
        <v>1866</v>
      </c>
      <c r="J20" s="2">
        <v>5</v>
      </c>
      <c r="K20" s="2">
        <v>0</v>
      </c>
      <c r="L20" s="2">
        <v>5</v>
      </c>
    </row>
    <row r="21" spans="1:12" ht="30" x14ac:dyDescent="0.25">
      <c r="A21" s="2" t="s">
        <v>40</v>
      </c>
      <c r="B21" s="2" t="s">
        <v>96</v>
      </c>
      <c r="C21" s="2" t="s">
        <v>48</v>
      </c>
      <c r="D21" s="2" t="s">
        <v>101</v>
      </c>
      <c r="E21" s="2" t="s">
        <v>53</v>
      </c>
      <c r="F21" s="2">
        <v>18.07</v>
      </c>
      <c r="G21" s="2">
        <v>2.2176999999999999E-2</v>
      </c>
      <c r="H21" s="2">
        <v>4418</v>
      </c>
      <c r="I21" s="2">
        <v>1031.8</v>
      </c>
      <c r="J21" s="2">
        <v>1</v>
      </c>
      <c r="K21" s="2">
        <v>0</v>
      </c>
      <c r="L21" s="2">
        <v>5</v>
      </c>
    </row>
    <row r="22" spans="1:12" ht="30" x14ac:dyDescent="0.25">
      <c r="A22" s="2" t="s">
        <v>55</v>
      </c>
      <c r="B22" s="2" t="s">
        <v>102</v>
      </c>
      <c r="C22" s="2" t="s">
        <v>56</v>
      </c>
      <c r="D22" s="2" t="s">
        <v>103</v>
      </c>
      <c r="E22" s="2" t="s">
        <v>42</v>
      </c>
      <c r="F22" s="2">
        <v>12.97</v>
      </c>
      <c r="G22" s="2">
        <v>3.8790000000000001E-3</v>
      </c>
      <c r="H22" s="2">
        <v>23014</v>
      </c>
      <c r="I22" s="2">
        <v>710.8</v>
      </c>
      <c r="J22" s="2">
        <v>1</v>
      </c>
      <c r="K22" s="2">
        <v>0</v>
      </c>
      <c r="L22" s="2">
        <v>5</v>
      </c>
    </row>
    <row r="23" spans="1:12" ht="30" x14ac:dyDescent="0.25">
      <c r="A23" s="2" t="s">
        <v>55</v>
      </c>
      <c r="B23" s="2" t="s">
        <v>102</v>
      </c>
      <c r="C23" s="2" t="s">
        <v>57</v>
      </c>
      <c r="D23" s="2" t="s">
        <v>104</v>
      </c>
      <c r="E23" s="2" t="s">
        <v>42</v>
      </c>
      <c r="F23" s="2">
        <v>13.18</v>
      </c>
      <c r="G23" s="2">
        <v>1.4120000000000001E-3</v>
      </c>
      <c r="H23" s="2">
        <v>6576</v>
      </c>
      <c r="I23" s="2">
        <v>709.4</v>
      </c>
      <c r="J23" s="2">
        <v>5</v>
      </c>
      <c r="K23" s="2">
        <v>0</v>
      </c>
      <c r="L23" s="2">
        <v>5</v>
      </c>
    </row>
    <row r="24" spans="1:12" ht="30" x14ac:dyDescent="0.25">
      <c r="A24" s="2" t="s">
        <v>55</v>
      </c>
      <c r="B24" s="2" t="s">
        <v>102</v>
      </c>
      <c r="C24" s="2" t="s">
        <v>58</v>
      </c>
      <c r="D24" s="2" t="s">
        <v>105</v>
      </c>
      <c r="E24" s="2" t="s">
        <v>42</v>
      </c>
      <c r="F24" s="2">
        <v>9.2799999999999994</v>
      </c>
      <c r="G24" s="2">
        <v>9.2400000000000002E-4</v>
      </c>
      <c r="H24" s="2">
        <v>4419</v>
      </c>
      <c r="I24" s="2">
        <v>435.8</v>
      </c>
      <c r="J24" s="2">
        <v>1</v>
      </c>
      <c r="K24" s="2">
        <v>0</v>
      </c>
      <c r="L24" s="2">
        <v>5</v>
      </c>
    </row>
    <row r="25" spans="1:12" ht="30" x14ac:dyDescent="0.25">
      <c r="A25" s="2" t="s">
        <v>55</v>
      </c>
      <c r="B25" s="2" t="s">
        <v>102</v>
      </c>
      <c r="C25" s="2" t="s">
        <v>56</v>
      </c>
      <c r="D25" s="2" t="s">
        <v>103</v>
      </c>
      <c r="E25" s="2" t="s">
        <v>49</v>
      </c>
      <c r="F25" s="2">
        <v>59.9</v>
      </c>
      <c r="G25" s="2">
        <v>4.7099999999999998E-3</v>
      </c>
      <c r="H25" s="2">
        <v>23013</v>
      </c>
      <c r="I25" s="2">
        <v>8897.4</v>
      </c>
      <c r="J25" s="2">
        <v>1</v>
      </c>
      <c r="K25" s="2">
        <v>0</v>
      </c>
      <c r="L25" s="2">
        <v>5</v>
      </c>
    </row>
    <row r="26" spans="1:12" ht="30" x14ac:dyDescent="0.25">
      <c r="A26" s="2" t="s">
        <v>55</v>
      </c>
      <c r="B26" s="2" t="s">
        <v>102</v>
      </c>
      <c r="C26" s="2" t="s">
        <v>57</v>
      </c>
      <c r="D26" s="2" t="s">
        <v>104</v>
      </c>
      <c r="E26" s="2" t="s">
        <v>49</v>
      </c>
      <c r="F26" s="2">
        <v>176.25</v>
      </c>
      <c r="G26" s="2">
        <v>9.1780000000000004E-3</v>
      </c>
      <c r="H26" s="2">
        <v>6571</v>
      </c>
      <c r="I26" s="2">
        <v>22122.6</v>
      </c>
      <c r="J26" s="2">
        <v>5</v>
      </c>
      <c r="K26" s="2">
        <v>0</v>
      </c>
      <c r="L26" s="2">
        <v>5</v>
      </c>
    </row>
    <row r="27" spans="1:12" ht="30" x14ac:dyDescent="0.25">
      <c r="A27" s="2" t="s">
        <v>55</v>
      </c>
      <c r="B27" s="2" t="s">
        <v>102</v>
      </c>
      <c r="C27" s="2" t="s">
        <v>58</v>
      </c>
      <c r="D27" s="2" t="s">
        <v>105</v>
      </c>
      <c r="E27" s="2" t="s">
        <v>49</v>
      </c>
      <c r="F27" s="2">
        <v>58.11</v>
      </c>
      <c r="G27" s="2">
        <v>3.5999999999999999E-3</v>
      </c>
      <c r="H27" s="2">
        <v>4418</v>
      </c>
      <c r="I27" s="2">
        <v>8448</v>
      </c>
      <c r="J27" s="2">
        <v>1</v>
      </c>
      <c r="K27" s="2">
        <v>0</v>
      </c>
      <c r="L27" s="2">
        <v>5</v>
      </c>
    </row>
    <row r="28" spans="1:12" ht="30" x14ac:dyDescent="0.25">
      <c r="A28" s="2" t="s">
        <v>55</v>
      </c>
      <c r="B28" s="2" t="s">
        <v>102</v>
      </c>
      <c r="C28" s="2" t="s">
        <v>56</v>
      </c>
      <c r="D28" s="2" t="s">
        <v>103</v>
      </c>
      <c r="E28" s="2" t="s">
        <v>52</v>
      </c>
      <c r="F28" s="2">
        <v>13.1</v>
      </c>
      <c r="G28" s="2">
        <v>4.3574000000000002E-2</v>
      </c>
      <c r="H28" s="2">
        <v>23014</v>
      </c>
      <c r="I28" s="2">
        <v>1480.6</v>
      </c>
      <c r="J28" s="2">
        <v>1</v>
      </c>
      <c r="K28" s="2">
        <v>0</v>
      </c>
      <c r="L28" s="2">
        <v>5</v>
      </c>
    </row>
    <row r="29" spans="1:12" ht="30" x14ac:dyDescent="0.25">
      <c r="A29" s="2" t="s">
        <v>55</v>
      </c>
      <c r="B29" s="2" t="s">
        <v>102</v>
      </c>
      <c r="C29" s="2" t="s">
        <v>57</v>
      </c>
      <c r="D29" s="2" t="s">
        <v>104</v>
      </c>
      <c r="E29" s="2" t="s">
        <v>52</v>
      </c>
      <c r="F29" s="2">
        <v>19.28</v>
      </c>
      <c r="G29" s="2">
        <v>2.5878000000000002E-2</v>
      </c>
      <c r="H29" s="2">
        <v>6576</v>
      </c>
      <c r="I29" s="2">
        <v>1765.8</v>
      </c>
      <c r="J29" s="2">
        <v>5</v>
      </c>
      <c r="K29" s="2">
        <v>0</v>
      </c>
      <c r="L29" s="2">
        <v>5</v>
      </c>
    </row>
    <row r="30" spans="1:12" ht="30" x14ac:dyDescent="0.25">
      <c r="A30" s="2" t="s">
        <v>55</v>
      </c>
      <c r="B30" s="2" t="s">
        <v>102</v>
      </c>
      <c r="C30" s="2" t="s">
        <v>58</v>
      </c>
      <c r="D30" s="2" t="s">
        <v>105</v>
      </c>
      <c r="E30" s="2" t="s">
        <v>52</v>
      </c>
      <c r="F30" s="2">
        <v>12.73</v>
      </c>
      <c r="G30" s="2">
        <v>1.9651999999999999E-2</v>
      </c>
      <c r="H30" s="2">
        <v>4419</v>
      </c>
      <c r="I30" s="2">
        <v>1412.8</v>
      </c>
      <c r="J30" s="2">
        <v>1</v>
      </c>
      <c r="K30" s="2">
        <v>0</v>
      </c>
      <c r="L30" s="2">
        <v>5</v>
      </c>
    </row>
    <row r="31" spans="1:12" ht="30" x14ac:dyDescent="0.25">
      <c r="A31" s="2" t="s">
        <v>55</v>
      </c>
      <c r="B31" s="2" t="s">
        <v>102</v>
      </c>
      <c r="C31" s="2" t="s">
        <v>56</v>
      </c>
      <c r="D31" s="2" t="s">
        <v>103</v>
      </c>
      <c r="E31" s="2" t="s">
        <v>53</v>
      </c>
      <c r="F31" s="2">
        <v>17.809999999999999</v>
      </c>
      <c r="G31" s="2">
        <v>5.4292E-2</v>
      </c>
      <c r="H31" s="2">
        <v>23013</v>
      </c>
      <c r="I31" s="2">
        <v>1001.4</v>
      </c>
      <c r="J31" s="2">
        <v>1</v>
      </c>
      <c r="K31" s="2">
        <v>0</v>
      </c>
      <c r="L31" s="2">
        <v>5</v>
      </c>
    </row>
    <row r="32" spans="1:12" ht="30" x14ac:dyDescent="0.25">
      <c r="A32" s="2" t="s">
        <v>55</v>
      </c>
      <c r="B32" s="2" t="s">
        <v>102</v>
      </c>
      <c r="C32" s="2" t="s">
        <v>57</v>
      </c>
      <c r="D32" s="2" t="s">
        <v>104</v>
      </c>
      <c r="E32" s="2" t="s">
        <v>53</v>
      </c>
      <c r="F32" s="2">
        <v>45.26</v>
      </c>
      <c r="G32" s="2">
        <v>4.4338000000000002E-2</v>
      </c>
      <c r="H32" s="2">
        <v>6571</v>
      </c>
      <c r="I32" s="2">
        <v>2345.6</v>
      </c>
      <c r="J32" s="2">
        <v>5</v>
      </c>
      <c r="K32" s="2">
        <v>0</v>
      </c>
      <c r="L32" s="2">
        <v>5</v>
      </c>
    </row>
    <row r="33" spans="1:12" ht="30" x14ac:dyDescent="0.25">
      <c r="A33" s="2" t="s">
        <v>55</v>
      </c>
      <c r="B33" s="2" t="s">
        <v>102</v>
      </c>
      <c r="C33" s="2" t="s">
        <v>58</v>
      </c>
      <c r="D33" s="2" t="s">
        <v>105</v>
      </c>
      <c r="E33" s="2" t="s">
        <v>53</v>
      </c>
      <c r="F33" s="2">
        <v>16.04</v>
      </c>
      <c r="G33" s="2">
        <v>2.1888000000000001E-2</v>
      </c>
      <c r="H33" s="2">
        <v>4418</v>
      </c>
      <c r="I33" s="2">
        <v>1011.2</v>
      </c>
      <c r="J33" s="2">
        <v>1</v>
      </c>
      <c r="K33" s="2">
        <v>0</v>
      </c>
      <c r="L33" s="2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29" customWidth="1"/>
    <col min="2" max="2" width="25" customWidth="1"/>
    <col min="3" max="3" width="50" customWidth="1"/>
    <col min="4" max="4" width="19" customWidth="1"/>
    <col min="5" max="5" width="20" customWidth="1"/>
    <col min="6" max="6" width="16" customWidth="1"/>
    <col min="7" max="7" width="19" customWidth="1"/>
    <col min="8" max="8" width="27" customWidth="1"/>
    <col min="9" max="9" width="41" customWidth="1"/>
    <col min="10" max="10" width="33" customWidth="1"/>
  </cols>
  <sheetData>
    <row r="1" spans="1:10" ht="30" x14ac:dyDescent="0.25">
      <c r="A1" s="1" t="s">
        <v>16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 ht="30" x14ac:dyDescent="0.25">
      <c r="A2" s="2" t="s">
        <v>40</v>
      </c>
      <c r="B2" s="2" t="s">
        <v>41</v>
      </c>
      <c r="C2" s="2" t="s">
        <v>97</v>
      </c>
      <c r="D2" s="2" t="s">
        <v>115</v>
      </c>
      <c r="E2" s="2" t="s">
        <v>116</v>
      </c>
      <c r="F2" s="2" t="s">
        <v>115</v>
      </c>
      <c r="G2" s="2" t="s">
        <v>115</v>
      </c>
      <c r="H2" s="2" t="s">
        <v>116</v>
      </c>
      <c r="I2" s="2" t="s">
        <v>117</v>
      </c>
      <c r="J2" s="2" t="s">
        <v>115</v>
      </c>
    </row>
    <row r="3" spans="1:10" ht="30" x14ac:dyDescent="0.25">
      <c r="A3" s="2" t="s">
        <v>40</v>
      </c>
      <c r="B3" s="2" t="s">
        <v>44</v>
      </c>
      <c r="C3" s="2" t="s">
        <v>98</v>
      </c>
      <c r="D3" s="2" t="s">
        <v>115</v>
      </c>
      <c r="E3" s="2" t="s">
        <v>115</v>
      </c>
      <c r="F3" s="2" t="s">
        <v>116</v>
      </c>
      <c r="G3" s="2" t="s">
        <v>115</v>
      </c>
      <c r="H3" s="2" t="s">
        <v>116</v>
      </c>
      <c r="I3" s="2" t="s">
        <v>117</v>
      </c>
      <c r="J3" s="2" t="s">
        <v>115</v>
      </c>
    </row>
    <row r="4" spans="1:10" ht="30" x14ac:dyDescent="0.25">
      <c r="A4" s="2" t="s">
        <v>40</v>
      </c>
      <c r="B4" s="2" t="s">
        <v>46</v>
      </c>
      <c r="C4" s="2" t="s">
        <v>99</v>
      </c>
      <c r="D4" s="2" t="s">
        <v>115</v>
      </c>
      <c r="E4" s="2" t="s">
        <v>116</v>
      </c>
      <c r="F4" s="2" t="s">
        <v>116</v>
      </c>
      <c r="G4" s="2" t="s">
        <v>115</v>
      </c>
      <c r="H4" s="2" t="s">
        <v>116</v>
      </c>
      <c r="I4" s="2" t="s">
        <v>117</v>
      </c>
      <c r="J4" s="2" t="s">
        <v>115</v>
      </c>
    </row>
    <row r="5" spans="1:10" ht="30" x14ac:dyDescent="0.25">
      <c r="A5" s="2" t="s">
        <v>40</v>
      </c>
      <c r="B5" s="2" t="s">
        <v>47</v>
      </c>
      <c r="C5" s="2" t="s">
        <v>100</v>
      </c>
      <c r="D5" s="2" t="s">
        <v>116</v>
      </c>
      <c r="E5" s="2" t="s">
        <v>116</v>
      </c>
      <c r="F5" s="2" t="s">
        <v>116</v>
      </c>
      <c r="G5" s="2" t="s">
        <v>115</v>
      </c>
      <c r="H5" s="2" t="s">
        <v>116</v>
      </c>
      <c r="I5" s="2" t="s">
        <v>117</v>
      </c>
      <c r="J5" s="2" t="s">
        <v>115</v>
      </c>
    </row>
    <row r="6" spans="1:10" ht="30" x14ac:dyDescent="0.25">
      <c r="A6" s="2" t="s">
        <v>40</v>
      </c>
      <c r="B6" s="2" t="s">
        <v>48</v>
      </c>
      <c r="C6" s="2" t="s">
        <v>101</v>
      </c>
      <c r="D6" s="2" t="s">
        <v>115</v>
      </c>
      <c r="E6" s="2" t="s">
        <v>115</v>
      </c>
      <c r="F6" s="2" t="s">
        <v>115</v>
      </c>
      <c r="G6" s="2" t="s">
        <v>115</v>
      </c>
      <c r="H6" s="2" t="s">
        <v>116</v>
      </c>
      <c r="I6" s="2" t="s">
        <v>117</v>
      </c>
      <c r="J6" s="2" t="s">
        <v>115</v>
      </c>
    </row>
    <row r="7" spans="1:10" ht="30" x14ac:dyDescent="0.25">
      <c r="A7" s="2" t="s">
        <v>55</v>
      </c>
      <c r="B7" s="2" t="s">
        <v>56</v>
      </c>
      <c r="C7" s="2" t="s">
        <v>103</v>
      </c>
      <c r="D7" s="2" t="s">
        <v>116</v>
      </c>
      <c r="E7" s="2" t="s">
        <v>116</v>
      </c>
      <c r="F7" s="2" t="s">
        <v>115</v>
      </c>
      <c r="G7" s="2" t="s">
        <v>115</v>
      </c>
      <c r="H7" s="2" t="s">
        <v>116</v>
      </c>
      <c r="I7" s="2" t="s">
        <v>117</v>
      </c>
      <c r="J7" s="2" t="s">
        <v>115</v>
      </c>
    </row>
    <row r="8" spans="1:10" ht="30" x14ac:dyDescent="0.25">
      <c r="A8" s="2" t="s">
        <v>55</v>
      </c>
      <c r="B8" s="2" t="s">
        <v>57</v>
      </c>
      <c r="C8" s="2" t="s">
        <v>104</v>
      </c>
      <c r="D8" s="2" t="s">
        <v>116</v>
      </c>
      <c r="E8" s="2" t="s">
        <v>115</v>
      </c>
      <c r="F8" s="2" t="s">
        <v>116</v>
      </c>
      <c r="G8" s="2" t="s">
        <v>115</v>
      </c>
      <c r="H8" s="2" t="s">
        <v>116</v>
      </c>
      <c r="I8" s="2" t="s">
        <v>117</v>
      </c>
      <c r="J8" s="2" t="s">
        <v>115</v>
      </c>
    </row>
    <row r="9" spans="1:10" ht="30" x14ac:dyDescent="0.25">
      <c r="A9" s="2" t="s">
        <v>55</v>
      </c>
      <c r="B9" s="2" t="s">
        <v>58</v>
      </c>
      <c r="C9" s="2" t="s">
        <v>105</v>
      </c>
      <c r="D9" s="2" t="s">
        <v>116</v>
      </c>
      <c r="E9" s="2" t="s">
        <v>115</v>
      </c>
      <c r="F9" s="2" t="s">
        <v>115</v>
      </c>
      <c r="G9" s="2" t="s">
        <v>115</v>
      </c>
      <c r="H9" s="2" t="s">
        <v>116</v>
      </c>
      <c r="I9" s="2" t="s">
        <v>117</v>
      </c>
      <c r="J9" s="2" t="s">
        <v>115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4472ac-fdbf-4902-8e69-25a98e99b946" xsi:nil="true"/>
    <lcf76f155ced4ddcb4097134ff3c332f xmlns="3db52a81-9563-4826-9e86-c6947d2ba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B39AEC5CC82148ADA00CE970A714C5" ma:contentTypeVersion="13" ma:contentTypeDescription="Ein neues Dokument erstellen." ma:contentTypeScope="" ma:versionID="d139177532e0b5bb9b2e4db80a005136">
  <xsd:schema xmlns:xsd="http://www.w3.org/2001/XMLSchema" xmlns:xs="http://www.w3.org/2001/XMLSchema" xmlns:p="http://schemas.microsoft.com/office/2006/metadata/properties" xmlns:ns2="3db52a81-9563-4826-9e86-c6947d2ba018" xmlns:ns3="a54472ac-fdbf-4902-8e69-25a98e99b946" targetNamespace="http://schemas.microsoft.com/office/2006/metadata/properties" ma:root="true" ma:fieldsID="e56b9b2a441d833130d8217521f67705" ns2:_="" ns3:_="">
    <xsd:import namespace="3db52a81-9563-4826-9e86-c6947d2ba018"/>
    <xsd:import namespace="a54472ac-fdbf-4902-8e69-25a98e99b9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52a81-9563-4826-9e86-c6947d2ba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b8572169-3b1a-45ea-9420-1908a052c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472ac-fdbf-4902-8e69-25a98e99b94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e59b89-e408-47a9-9671-5ee445b3a6a2}" ma:internalName="TaxCatchAll" ma:showField="CatchAllData" ma:web="a54472ac-fdbf-4902-8e69-25a98e99b9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149F6F-26ED-467E-89AB-46771F3B7573}">
  <ds:schemaRefs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a54472ac-fdbf-4902-8e69-25a98e99b946"/>
    <ds:schemaRef ds:uri="http://schemas.microsoft.com/office/infopath/2007/PartnerControls"/>
    <ds:schemaRef ds:uri="http://schemas.openxmlformats.org/package/2006/metadata/core-properties"/>
    <ds:schemaRef ds:uri="3db52a81-9563-4826-9e86-c6947d2ba018"/>
  </ds:schemaRefs>
</ds:datastoreItem>
</file>

<file path=customXml/itemProps2.xml><?xml version="1.0" encoding="utf-8"?>
<ds:datastoreItem xmlns:ds="http://schemas.openxmlformats.org/officeDocument/2006/customXml" ds:itemID="{CDE669C5-C399-4E58-8768-676E093D2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49849-D355-4CE7-99E9-C9E86F9D3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52a81-9563-4826-9e86-c6947d2ba018"/>
    <ds:schemaRef ds:uri="a54472ac-fdbf-4902-8e69-25a98e99b9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★ Ablation-Study</vt:lpstr>
      <vt:lpstr>Tabelle2</vt:lpstr>
      <vt:lpstr>Visualization</vt:lpstr>
      <vt:lpstr>★ Empfehlungen</vt:lpstr>
      <vt:lpstr>Ground-Truth</vt:lpstr>
      <vt:lpstr>Benchmark-Runs</vt:lpstr>
      <vt:lpstr>Ablation-Configs</vt:lpstr>
      <vt:lpstr>Ablation-Models</vt:lpstr>
      <vt:lpstr>Accuracy-pro-Schicht</vt:lpstr>
      <vt:lpstr>Benchmark-Summary</vt:lpstr>
      <vt:lpstr>Benchmark-Configs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Bartlog</cp:lastModifiedBy>
  <dcterms:created xsi:type="dcterms:W3CDTF">2026-01-23T16:02:11Z</dcterms:created>
  <dcterms:modified xsi:type="dcterms:W3CDTF">2026-05-29T12:52:29Z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0x010100FFB39AEC5CC82148ADA00CE970A714C5</vt:lpwstr>
  </property>
  <property fmtid="{D5CDD505-2E9C-101B-9397-08002B2CF9AE}" pid="3" name="MediaServiceImageTags">
    <vt:lpwstr/>
  </property>
</Properties>
</file>